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16380" windowHeight="8196" tabRatio="500"/>
  </bookViews>
  <sheets>
    <sheet name="1_Original_Data" sheetId="1" r:id="rId1"/>
    <sheet name="2_Cleaned_Data" sheetId="2" r:id="rId2"/>
    <sheet name="3_Dummy_Variables" sheetId="3" r:id="rId3"/>
    <sheet name="4_Simple_Regression_Footfall" sheetId="4" r:id="rId4"/>
    <sheet name="5_Simple_Regression_StaffCount" sheetId="8" r:id="rId5"/>
    <sheet name="6_Multiple_Regression" sheetId="5" r:id="rId6"/>
    <sheet name="7_Predictions_Residuals" sheetId="6" r:id="rId7"/>
    <sheet name="8_Model_Comparison" sheetId="7" r:id="rId8"/>
  </sheets>
  <definedNames>
    <definedName name="_xlnm._FilterDatabase" localSheetId="1" hidden="1">'2_Cleaned_Data'!$A$3:$T$323</definedName>
  </definedNames>
  <calcPr calcId="12451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T323" i="2"/>
  <c r="T322"/>
  <c r="T321"/>
  <c r="T320"/>
  <c r="T319"/>
  <c r="T318"/>
  <c r="T317"/>
  <c r="T316"/>
  <c r="T315"/>
  <c r="T314"/>
  <c r="T313"/>
  <c r="T312"/>
  <c r="T311"/>
  <c r="T310"/>
  <c r="T309"/>
  <c r="T308"/>
  <c r="T307"/>
  <c r="T306"/>
  <c r="T305"/>
  <c r="T304"/>
  <c r="T303"/>
  <c r="T302"/>
  <c r="T301"/>
  <c r="T300"/>
  <c r="T299"/>
  <c r="T298"/>
  <c r="T297"/>
  <c r="T296"/>
  <c r="T295"/>
  <c r="T294"/>
  <c r="T293"/>
  <c r="T292"/>
  <c r="T291"/>
  <c r="T290"/>
  <c r="T289"/>
  <c r="T288"/>
  <c r="T287"/>
  <c r="T286"/>
  <c r="T285"/>
  <c r="T284"/>
  <c r="T283"/>
  <c r="T282"/>
  <c r="T281"/>
  <c r="T280"/>
  <c r="T279"/>
  <c r="T278"/>
  <c r="T277"/>
  <c r="T276"/>
  <c r="T275"/>
  <c r="T274"/>
  <c r="T273"/>
  <c r="T272"/>
  <c r="T271"/>
  <c r="T270"/>
  <c r="T269"/>
  <c r="T268"/>
  <c r="T267"/>
  <c r="T266"/>
  <c r="T265"/>
  <c r="T264"/>
  <c r="T263"/>
  <c r="T262"/>
  <c r="T261"/>
  <c r="T260"/>
  <c r="T259"/>
  <c r="T258"/>
  <c r="T257"/>
  <c r="T256"/>
  <c r="T255"/>
  <c r="T254"/>
  <c r="T253"/>
  <c r="T252"/>
  <c r="T251"/>
  <c r="T250"/>
  <c r="T249"/>
  <c r="T248"/>
  <c r="T247"/>
  <c r="T246"/>
  <c r="T245"/>
  <c r="T244"/>
  <c r="T243"/>
  <c r="T242"/>
  <c r="T241"/>
  <c r="T240"/>
  <c r="T239"/>
  <c r="T238"/>
  <c r="T237"/>
  <c r="T236"/>
  <c r="T235"/>
  <c r="T234"/>
  <c r="T233"/>
  <c r="T232"/>
  <c r="T231"/>
  <c r="T230"/>
  <c r="T229"/>
  <c r="T228"/>
  <c r="T227"/>
  <c r="T226"/>
  <c r="T225"/>
  <c r="T224"/>
  <c r="T223"/>
  <c r="T222"/>
  <c r="T221"/>
  <c r="T220"/>
  <c r="T219"/>
  <c r="T218"/>
  <c r="T217"/>
  <c r="T216"/>
  <c r="T215"/>
  <c r="T214"/>
  <c r="T213"/>
  <c r="T212"/>
  <c r="T211"/>
  <c r="T210"/>
  <c r="T209"/>
  <c r="T208"/>
  <c r="T207"/>
  <c r="T206"/>
  <c r="T205"/>
  <c r="T204"/>
  <c r="T203"/>
  <c r="T202"/>
  <c r="T201"/>
  <c r="T200"/>
  <c r="T199"/>
  <c r="T198"/>
  <c r="T197"/>
  <c r="T196"/>
  <c r="T195"/>
  <c r="T194"/>
  <c r="T193"/>
  <c r="T192"/>
  <c r="T191"/>
  <c r="T190"/>
  <c r="T189"/>
  <c r="T188"/>
  <c r="T187"/>
  <c r="T186"/>
  <c r="T185"/>
  <c r="T184"/>
  <c r="T183"/>
  <c r="T182"/>
  <c r="T181"/>
  <c r="T180"/>
  <c r="T179"/>
  <c r="T178"/>
  <c r="T177"/>
  <c r="T176"/>
  <c r="T175"/>
  <c r="T174"/>
  <c r="T173"/>
  <c r="T172"/>
  <c r="T171"/>
  <c r="T170"/>
  <c r="T169"/>
  <c r="T168"/>
  <c r="T167"/>
  <c r="T166"/>
  <c r="T165"/>
  <c r="T164"/>
  <c r="T163"/>
  <c r="T162"/>
  <c r="T161"/>
  <c r="T160"/>
  <c r="T159"/>
  <c r="T158"/>
  <c r="T157"/>
  <c r="T156"/>
  <c r="T155"/>
  <c r="T154"/>
  <c r="T153"/>
  <c r="T152"/>
  <c r="T151"/>
  <c r="T150"/>
  <c r="T149"/>
  <c r="T148"/>
  <c r="T147"/>
  <c r="T146"/>
  <c r="T145"/>
  <c r="T144"/>
  <c r="T143"/>
  <c r="T142"/>
  <c r="T141"/>
  <c r="T140"/>
  <c r="T139"/>
  <c r="T138"/>
  <c r="T137"/>
  <c r="T136"/>
  <c r="T135"/>
  <c r="T134"/>
  <c r="T133"/>
  <c r="T132"/>
  <c r="T131"/>
  <c r="T130"/>
  <c r="T129"/>
  <c r="T128"/>
  <c r="T127"/>
  <c r="T126"/>
  <c r="T125"/>
  <c r="T124"/>
  <c r="T123"/>
  <c r="T122"/>
  <c r="T121"/>
  <c r="T120"/>
  <c r="T119"/>
  <c r="T118"/>
  <c r="T117"/>
  <c r="T116"/>
  <c r="T115"/>
  <c r="T114"/>
  <c r="T113"/>
  <c r="T112"/>
  <c r="T111"/>
  <c r="T110"/>
  <c r="T109"/>
  <c r="T108"/>
  <c r="T107"/>
  <c r="T106"/>
  <c r="T105"/>
  <c r="T104"/>
  <c r="T103"/>
  <c r="T102"/>
  <c r="T101"/>
  <c r="T100"/>
  <c r="T99"/>
  <c r="T98"/>
  <c r="T97"/>
  <c r="T96"/>
  <c r="T95"/>
  <c r="T94"/>
  <c r="T93"/>
  <c r="T92"/>
  <c r="T91"/>
  <c r="T90"/>
  <c r="T89"/>
  <c r="T88"/>
  <c r="T87"/>
  <c r="T86"/>
  <c r="T85"/>
  <c r="T84"/>
  <c r="T83"/>
  <c r="T82"/>
  <c r="T81"/>
  <c r="T80"/>
  <c r="T79"/>
  <c r="T78"/>
  <c r="T77"/>
  <c r="T76"/>
  <c r="T75"/>
  <c r="T74"/>
  <c r="T73"/>
  <c r="T72"/>
  <c r="T71"/>
  <c r="T70"/>
  <c r="T69"/>
  <c r="T68"/>
  <c r="T67"/>
  <c r="T66"/>
  <c r="T65"/>
  <c r="T64"/>
  <c r="T63"/>
  <c r="T62"/>
  <c r="T61"/>
  <c r="T60"/>
  <c r="T59"/>
  <c r="T58"/>
  <c r="T57"/>
  <c r="T56"/>
  <c r="T55"/>
  <c r="T54"/>
  <c r="T53"/>
  <c r="T52"/>
  <c r="T51"/>
  <c r="T50"/>
  <c r="T49"/>
  <c r="T48"/>
  <c r="T47"/>
  <c r="T46"/>
  <c r="T45"/>
  <c r="T44"/>
  <c r="T43"/>
  <c r="T42"/>
  <c r="T41"/>
  <c r="T40"/>
  <c r="T39"/>
  <c r="T38"/>
  <c r="T37"/>
  <c r="T36"/>
  <c r="T35"/>
  <c r="T34"/>
  <c r="T33"/>
  <c r="T32"/>
  <c r="T31"/>
  <c r="T30"/>
  <c r="T29"/>
  <c r="T28"/>
  <c r="T27"/>
  <c r="T26"/>
  <c r="T25"/>
  <c r="T24"/>
  <c r="T23"/>
  <c r="T22"/>
  <c r="T21"/>
  <c r="T20"/>
  <c r="T19"/>
  <c r="T18"/>
  <c r="T17"/>
  <c r="T16"/>
  <c r="T15"/>
  <c r="T14"/>
  <c r="T13"/>
  <c r="T12"/>
  <c r="T11"/>
  <c r="T10"/>
  <c r="T9"/>
  <c r="T8"/>
  <c r="T7"/>
  <c r="T6"/>
  <c r="T5"/>
  <c r="T4"/>
  <c r="S323"/>
  <c r="S322"/>
  <c r="S321"/>
  <c r="S320"/>
  <c r="S319"/>
  <c r="S318"/>
  <c r="S317"/>
  <c r="S316"/>
  <c r="S315"/>
  <c r="S314"/>
  <c r="S313"/>
  <c r="S312"/>
  <c r="S311"/>
  <c r="S310"/>
  <c r="S309"/>
  <c r="S308"/>
  <c r="S307"/>
  <c r="S306"/>
  <c r="S305"/>
  <c r="S304"/>
  <c r="S303"/>
  <c r="S302"/>
  <c r="S301"/>
  <c r="S300"/>
  <c r="S299"/>
  <c r="S298"/>
  <c r="S297"/>
  <c r="S296"/>
  <c r="S295"/>
  <c r="S294"/>
  <c r="S293"/>
  <c r="S292"/>
  <c r="S291"/>
  <c r="S290"/>
  <c r="S289"/>
  <c r="S288"/>
  <c r="S287"/>
  <c r="S286"/>
  <c r="S285"/>
  <c r="S284"/>
  <c r="S283"/>
  <c r="S282"/>
  <c r="S281"/>
  <c r="S280"/>
  <c r="S279"/>
  <c r="S278"/>
  <c r="S277"/>
  <c r="S276"/>
  <c r="S275"/>
  <c r="S274"/>
  <c r="S273"/>
  <c r="S272"/>
  <c r="S271"/>
  <c r="S270"/>
  <c r="S269"/>
  <c r="S268"/>
  <c r="S267"/>
  <c r="S266"/>
  <c r="S265"/>
  <c r="S264"/>
  <c r="S263"/>
  <c r="S262"/>
  <c r="S261"/>
  <c r="S260"/>
  <c r="S259"/>
  <c r="S258"/>
  <c r="S257"/>
  <c r="S256"/>
  <c r="S255"/>
  <c r="S254"/>
  <c r="S253"/>
  <c r="S252"/>
  <c r="S251"/>
  <c r="S250"/>
  <c r="S249"/>
  <c r="S248"/>
  <c r="S247"/>
  <c r="S246"/>
  <c r="S245"/>
  <c r="S244"/>
  <c r="S243"/>
  <c r="S242"/>
  <c r="S241"/>
  <c r="S240"/>
  <c r="S239"/>
  <c r="S238"/>
  <c r="S237"/>
  <c r="S236"/>
  <c r="S235"/>
  <c r="S234"/>
  <c r="S233"/>
  <c r="S232"/>
  <c r="S231"/>
  <c r="S230"/>
  <c r="S229"/>
  <c r="S228"/>
  <c r="S227"/>
  <c r="S226"/>
  <c r="S225"/>
  <c r="S224"/>
  <c r="S223"/>
  <c r="S222"/>
  <c r="S221"/>
  <c r="S220"/>
  <c r="S219"/>
  <c r="S218"/>
  <c r="S217"/>
  <c r="S216"/>
  <c r="S215"/>
  <c r="S214"/>
  <c r="S213"/>
  <c r="S212"/>
  <c r="S211"/>
  <c r="S210"/>
  <c r="S209"/>
  <c r="S208"/>
  <c r="S207"/>
  <c r="S206"/>
  <c r="S205"/>
  <c r="S204"/>
  <c r="S203"/>
  <c r="S202"/>
  <c r="S201"/>
  <c r="S200"/>
  <c r="S199"/>
  <c r="S198"/>
  <c r="S197"/>
  <c r="S196"/>
  <c r="S195"/>
  <c r="S194"/>
  <c r="S193"/>
  <c r="S192"/>
  <c r="S191"/>
  <c r="S190"/>
  <c r="S189"/>
  <c r="S188"/>
  <c r="S187"/>
  <c r="S186"/>
  <c r="S185"/>
  <c r="S184"/>
  <c r="S183"/>
  <c r="S182"/>
  <c r="S181"/>
  <c r="S180"/>
  <c r="S179"/>
  <c r="S178"/>
  <c r="S177"/>
  <c r="S176"/>
  <c r="S175"/>
  <c r="S174"/>
  <c r="S173"/>
  <c r="S172"/>
  <c r="S171"/>
  <c r="S170"/>
  <c r="S169"/>
  <c r="S168"/>
  <c r="S167"/>
  <c r="S166"/>
  <c r="S165"/>
  <c r="S164"/>
  <c r="S163"/>
  <c r="S162"/>
  <c r="S161"/>
  <c r="S160"/>
  <c r="S159"/>
  <c r="S158"/>
  <c r="S157"/>
  <c r="S156"/>
  <c r="S155"/>
  <c r="S154"/>
  <c r="S153"/>
  <c r="S152"/>
  <c r="S151"/>
  <c r="S150"/>
  <c r="S149"/>
  <c r="S148"/>
  <c r="S147"/>
  <c r="S146"/>
  <c r="S145"/>
  <c r="S144"/>
  <c r="S143"/>
  <c r="S142"/>
  <c r="S141"/>
  <c r="S140"/>
  <c r="S139"/>
  <c r="S138"/>
  <c r="S137"/>
  <c r="S136"/>
  <c r="S135"/>
  <c r="S134"/>
  <c r="S133"/>
  <c r="S132"/>
  <c r="S131"/>
  <c r="S130"/>
  <c r="S129"/>
  <c r="S128"/>
  <c r="S127"/>
  <c r="S126"/>
  <c r="S125"/>
  <c r="S124"/>
  <c r="S123"/>
  <c r="S122"/>
  <c r="S121"/>
  <c r="S120"/>
  <c r="S119"/>
  <c r="S118"/>
  <c r="S117"/>
  <c r="S116"/>
  <c r="S115"/>
  <c r="S114"/>
  <c r="S113"/>
  <c r="S112"/>
  <c r="S111"/>
  <c r="S110"/>
  <c r="S109"/>
  <c r="S108"/>
  <c r="S107"/>
  <c r="S106"/>
  <c r="S105"/>
  <c r="S104"/>
  <c r="S103"/>
  <c r="S102"/>
  <c r="S101"/>
  <c r="S100"/>
  <c r="S99"/>
  <c r="S98"/>
  <c r="S97"/>
  <c r="S96"/>
  <c r="S95"/>
  <c r="S94"/>
  <c r="S93"/>
  <c r="S92"/>
  <c r="S91"/>
  <c r="S90"/>
  <c r="S89"/>
  <c r="S88"/>
  <c r="S87"/>
  <c r="S86"/>
  <c r="S85"/>
  <c r="S84"/>
  <c r="S83"/>
  <c r="S82"/>
  <c r="S81"/>
  <c r="S80"/>
  <c r="S79"/>
  <c r="S78"/>
  <c r="S77"/>
  <c r="S76"/>
  <c r="S75"/>
  <c r="S74"/>
  <c r="S73"/>
  <c r="S72"/>
  <c r="S71"/>
  <c r="S70"/>
  <c r="S69"/>
  <c r="S68"/>
  <c r="S67"/>
  <c r="S66"/>
  <c r="S65"/>
  <c r="S64"/>
  <c r="S63"/>
  <c r="S62"/>
  <c r="S61"/>
  <c r="S60"/>
  <c r="S59"/>
  <c r="S58"/>
  <c r="S57"/>
  <c r="S56"/>
  <c r="S55"/>
  <c r="S54"/>
  <c r="S53"/>
  <c r="S52"/>
  <c r="S51"/>
  <c r="S50"/>
  <c r="S49"/>
  <c r="S48"/>
  <c r="S47"/>
  <c r="S46"/>
  <c r="S45"/>
  <c r="S44"/>
  <c r="S43"/>
  <c r="S42"/>
  <c r="S41"/>
  <c r="S40"/>
  <c r="S39"/>
  <c r="S38"/>
  <c r="S37"/>
  <c r="S36"/>
  <c r="S35"/>
  <c r="S34"/>
  <c r="S33"/>
  <c r="S32"/>
  <c r="S31"/>
  <c r="S30"/>
  <c r="S29"/>
  <c r="S28"/>
  <c r="S27"/>
  <c r="S26"/>
  <c r="S25"/>
  <c r="S24"/>
  <c r="S23"/>
  <c r="S22"/>
  <c r="S21"/>
  <c r="S20"/>
  <c r="S19"/>
  <c r="S18"/>
  <c r="S17"/>
  <c r="S16"/>
  <c r="S15"/>
  <c r="S14"/>
  <c r="S13"/>
  <c r="S12"/>
  <c r="S11"/>
  <c r="S10"/>
  <c r="S9"/>
  <c r="S8"/>
  <c r="S7"/>
  <c r="S6"/>
  <c r="S5"/>
  <c r="S4"/>
  <c r="R323"/>
  <c r="R322"/>
  <c r="R321"/>
  <c r="R320"/>
  <c r="R319"/>
  <c r="R318"/>
  <c r="R317"/>
  <c r="R316"/>
  <c r="R315"/>
  <c r="R314"/>
  <c r="R313"/>
  <c r="R312"/>
  <c r="R311"/>
  <c r="R310"/>
  <c r="R309"/>
  <c r="R308"/>
  <c r="R307"/>
  <c r="R306"/>
  <c r="R305"/>
  <c r="R304"/>
  <c r="R303"/>
  <c r="R302"/>
  <c r="R301"/>
  <c r="R300"/>
  <c r="R299"/>
  <c r="R298"/>
  <c r="R297"/>
  <c r="R296"/>
  <c r="R295"/>
  <c r="R294"/>
  <c r="R293"/>
  <c r="R292"/>
  <c r="R291"/>
  <c r="R290"/>
  <c r="R289"/>
  <c r="R288"/>
  <c r="R287"/>
  <c r="R286"/>
  <c r="R285"/>
  <c r="R284"/>
  <c r="R283"/>
  <c r="R282"/>
  <c r="R281"/>
  <c r="R280"/>
  <c r="R279"/>
  <c r="R278"/>
  <c r="R277"/>
  <c r="R276"/>
  <c r="R275"/>
  <c r="R274"/>
  <c r="R273"/>
  <c r="R272"/>
  <c r="R271"/>
  <c r="R270"/>
  <c r="R269"/>
  <c r="R268"/>
  <c r="R267"/>
  <c r="R266"/>
  <c r="R265"/>
  <c r="R264"/>
  <c r="R263"/>
  <c r="R262"/>
  <c r="R261"/>
  <c r="R260"/>
  <c r="R259"/>
  <c r="R258"/>
  <c r="R257"/>
  <c r="R256"/>
  <c r="R255"/>
  <c r="R254"/>
  <c r="R253"/>
  <c r="R252"/>
  <c r="R251"/>
  <c r="R250"/>
  <c r="R249"/>
  <c r="R248"/>
  <c r="R247"/>
  <c r="R246"/>
  <c r="R245"/>
  <c r="R244"/>
  <c r="R243"/>
  <c r="R242"/>
  <c r="R241"/>
  <c r="R240"/>
  <c r="R239"/>
  <c r="R238"/>
  <c r="R237"/>
  <c r="R236"/>
  <c r="R235"/>
  <c r="R234"/>
  <c r="R233"/>
  <c r="R232"/>
  <c r="R231"/>
  <c r="R230"/>
  <c r="R229"/>
  <c r="R228"/>
  <c r="R227"/>
  <c r="R226"/>
  <c r="R225"/>
  <c r="R224"/>
  <c r="R223"/>
  <c r="R222"/>
  <c r="R221"/>
  <c r="R220"/>
  <c r="R219"/>
  <c r="R218"/>
  <c r="R217"/>
  <c r="R216"/>
  <c r="R215"/>
  <c r="R214"/>
  <c r="R213"/>
  <c r="R212"/>
  <c r="R211"/>
  <c r="R210"/>
  <c r="R209"/>
  <c r="R208"/>
  <c r="R207"/>
  <c r="R206"/>
  <c r="R205"/>
  <c r="R204"/>
  <c r="R203"/>
  <c r="R202"/>
  <c r="R201"/>
  <c r="R200"/>
  <c r="R199"/>
  <c r="R198"/>
  <c r="R197"/>
  <c r="R196"/>
  <c r="R195"/>
  <c r="R194"/>
  <c r="R193"/>
  <c r="R192"/>
  <c r="R191"/>
  <c r="R190"/>
  <c r="R189"/>
  <c r="R188"/>
  <c r="R187"/>
  <c r="R186"/>
  <c r="R185"/>
  <c r="R184"/>
  <c r="R183"/>
  <c r="R182"/>
  <c r="R181"/>
  <c r="R180"/>
  <c r="R179"/>
  <c r="R178"/>
  <c r="R177"/>
  <c r="R176"/>
  <c r="R175"/>
  <c r="R174"/>
  <c r="R173"/>
  <c r="R172"/>
  <c r="R171"/>
  <c r="R170"/>
  <c r="R169"/>
  <c r="R168"/>
  <c r="R167"/>
  <c r="R166"/>
  <c r="R165"/>
  <c r="R164"/>
  <c r="R163"/>
  <c r="R162"/>
  <c r="R161"/>
  <c r="R160"/>
  <c r="R159"/>
  <c r="R158"/>
  <c r="R157"/>
  <c r="R156"/>
  <c r="R155"/>
  <c r="R154"/>
  <c r="R153"/>
  <c r="R152"/>
  <c r="R151"/>
  <c r="R150"/>
  <c r="R149"/>
  <c r="R148"/>
  <c r="R147"/>
  <c r="R146"/>
  <c r="R145"/>
  <c r="R144"/>
  <c r="R143"/>
  <c r="R142"/>
  <c r="R141"/>
  <c r="R140"/>
  <c r="R139"/>
  <c r="R138"/>
  <c r="R137"/>
  <c r="R136"/>
  <c r="R135"/>
  <c r="R134"/>
  <c r="R133"/>
  <c r="R132"/>
  <c r="R131"/>
  <c r="R130"/>
  <c r="R129"/>
  <c r="R128"/>
  <c r="R127"/>
  <c r="R126"/>
  <c r="R125"/>
  <c r="R124"/>
  <c r="R123"/>
  <c r="R122"/>
  <c r="R121"/>
  <c r="R120"/>
  <c r="R119"/>
  <c r="R118"/>
  <c r="R117"/>
  <c r="R116"/>
  <c r="R115"/>
  <c r="R114"/>
  <c r="R113"/>
  <c r="R112"/>
  <c r="R111"/>
  <c r="R110"/>
  <c r="R109"/>
  <c r="R108"/>
  <c r="R107"/>
  <c r="R106"/>
  <c r="R105"/>
  <c r="R104"/>
  <c r="R103"/>
  <c r="R102"/>
  <c r="R101"/>
  <c r="R100"/>
  <c r="R99"/>
  <c r="R98"/>
  <c r="R97"/>
  <c r="R96"/>
  <c r="R95"/>
  <c r="R94"/>
  <c r="R93"/>
  <c r="R92"/>
  <c r="R91"/>
  <c r="R90"/>
  <c r="R89"/>
  <c r="R88"/>
  <c r="R87"/>
  <c r="R86"/>
  <c r="R85"/>
  <c r="R84"/>
  <c r="R83"/>
  <c r="R82"/>
  <c r="R81"/>
  <c r="R80"/>
  <c r="R79"/>
  <c r="R78"/>
  <c r="R77"/>
  <c r="R76"/>
  <c r="R75"/>
  <c r="R74"/>
  <c r="R73"/>
  <c r="R72"/>
  <c r="R71"/>
  <c r="R70"/>
  <c r="R69"/>
  <c r="R68"/>
  <c r="R67"/>
  <c r="R66"/>
  <c r="R65"/>
  <c r="R64"/>
  <c r="R63"/>
  <c r="R62"/>
  <c r="R61"/>
  <c r="R60"/>
  <c r="R59"/>
  <c r="R58"/>
  <c r="R57"/>
  <c r="R56"/>
  <c r="R55"/>
  <c r="R54"/>
  <c r="R53"/>
  <c r="R52"/>
  <c r="R51"/>
  <c r="R50"/>
  <c r="R49"/>
  <c r="R48"/>
  <c r="R47"/>
  <c r="R46"/>
  <c r="R45"/>
  <c r="R44"/>
  <c r="R43"/>
  <c r="R42"/>
  <c r="R41"/>
  <c r="R40"/>
  <c r="R39"/>
  <c r="R38"/>
  <c r="R37"/>
  <c r="R36"/>
  <c r="R35"/>
  <c r="R34"/>
  <c r="R33"/>
  <c r="R32"/>
  <c r="R31"/>
  <c r="R30"/>
  <c r="R29"/>
  <c r="R28"/>
  <c r="R27"/>
  <c r="R26"/>
  <c r="R25"/>
  <c r="R24"/>
  <c r="R23"/>
  <c r="R22"/>
  <c r="R21"/>
  <c r="R20"/>
  <c r="R19"/>
  <c r="R18"/>
  <c r="R17"/>
  <c r="R16"/>
  <c r="R15"/>
  <c r="R14"/>
  <c r="R13"/>
  <c r="R12"/>
  <c r="R11"/>
  <c r="R10"/>
  <c r="R9"/>
  <c r="R8"/>
  <c r="R7"/>
  <c r="R6"/>
  <c r="R5"/>
  <c r="R4"/>
</calcChain>
</file>

<file path=xl/sharedStrings.xml><?xml version="1.0" encoding="utf-8"?>
<sst xmlns="http://schemas.openxmlformats.org/spreadsheetml/2006/main" count="3499" uniqueCount="295">
  <si>
    <t>Store Performance Dataset — Original (Unmodified)</t>
  </si>
  <si>
    <t>store_id</t>
  </si>
  <si>
    <t>month</t>
  </si>
  <si>
    <t>region</t>
  </si>
  <si>
    <t>store_type</t>
  </si>
  <si>
    <t>marketing_spend</t>
  </si>
  <si>
    <t>footfall</t>
  </si>
  <si>
    <t>avg_discount_pct</t>
  </si>
  <si>
    <t>staff_count</t>
  </si>
  <si>
    <t>inventory_availability_pct</t>
  </si>
  <si>
    <t>competitor_distance_km</t>
  </si>
  <si>
    <t>holiday_flag</t>
  </si>
  <si>
    <t>customer_rating</t>
  </si>
  <si>
    <t>monthly_sales</t>
  </si>
  <si>
    <t>monthly_profit</t>
  </si>
  <si>
    <t>STR-1001</t>
  </si>
  <si>
    <t>East</t>
  </si>
  <si>
    <t>Residential</t>
  </si>
  <si>
    <t>STR-1002</t>
  </si>
  <si>
    <t>High Street</t>
  </si>
  <si>
    <t>STR-1003</t>
  </si>
  <si>
    <t>North</t>
  </si>
  <si>
    <t>Airport</t>
  </si>
  <si>
    <t>STR-1004</t>
  </si>
  <si>
    <t>STR-1005</t>
  </si>
  <si>
    <t>South</t>
  </si>
  <si>
    <t>STR-1006</t>
  </si>
  <si>
    <t>STR-1007</t>
  </si>
  <si>
    <t>West</t>
  </si>
  <si>
    <t>Mall</t>
  </si>
  <si>
    <t>STR-1008</t>
  </si>
  <si>
    <t>STR-1009</t>
  </si>
  <si>
    <t>STR-1010</t>
  </si>
  <si>
    <t>STR-1011</t>
  </si>
  <si>
    <t>STR-1012</t>
  </si>
  <si>
    <t>STR-1013</t>
  </si>
  <si>
    <t>STR-1014</t>
  </si>
  <si>
    <t>STR-1015</t>
  </si>
  <si>
    <t>STR-1016</t>
  </si>
  <si>
    <t>STR-1017</t>
  </si>
  <si>
    <t>STR-1018</t>
  </si>
  <si>
    <t>STR-1019</t>
  </si>
  <si>
    <t>STR-1020</t>
  </si>
  <si>
    <t>STR-1021</t>
  </si>
  <si>
    <t>STR-1022</t>
  </si>
  <si>
    <t>STR-1023</t>
  </si>
  <si>
    <t>STR-1024</t>
  </si>
  <si>
    <t>STR-1025</t>
  </si>
  <si>
    <t>STR-1026</t>
  </si>
  <si>
    <t>STR-1027</t>
  </si>
  <si>
    <t>STR-1028</t>
  </si>
  <si>
    <t>STR-1029</t>
  </si>
  <si>
    <t>STR-1030</t>
  </si>
  <si>
    <t>STR-1031</t>
  </si>
  <si>
    <t>STR-1032</t>
  </si>
  <si>
    <t>STR-1033</t>
  </si>
  <si>
    <t>STR-1034</t>
  </si>
  <si>
    <t>STR-1035</t>
  </si>
  <si>
    <t>STR-1036</t>
  </si>
  <si>
    <t>STR-1037</t>
  </si>
  <si>
    <t>STR-1038</t>
  </si>
  <si>
    <t>STR-1039</t>
  </si>
  <si>
    <t>STR-1040</t>
  </si>
  <si>
    <t>STR-1041</t>
  </si>
  <si>
    <t>STR-1042</t>
  </si>
  <si>
    <t>STR-1043</t>
  </si>
  <si>
    <t>STR-1044</t>
  </si>
  <si>
    <t>STR-1045</t>
  </si>
  <si>
    <t>STR-1046</t>
  </si>
  <si>
    <t>STR-1047</t>
  </si>
  <si>
    <t>STR-1048</t>
  </si>
  <si>
    <t>STR-1049</t>
  </si>
  <si>
    <t>STR-1050</t>
  </si>
  <si>
    <t>STR-1051</t>
  </si>
  <si>
    <t>STR-1052</t>
  </si>
  <si>
    <t>STR-1053</t>
  </si>
  <si>
    <t>STR-1054</t>
  </si>
  <si>
    <t>STR-1055</t>
  </si>
  <si>
    <t>STR-1056</t>
  </si>
  <si>
    <t>STR-1057</t>
  </si>
  <si>
    <t>STR-1058</t>
  </si>
  <si>
    <t>STR-1059</t>
  </si>
  <si>
    <t>STR-1060</t>
  </si>
  <si>
    <t>STR-1061</t>
  </si>
  <si>
    <t>STR-1062</t>
  </si>
  <si>
    <t>STR-1063</t>
  </si>
  <si>
    <t>STR-1064</t>
  </si>
  <si>
    <t>STR-1065</t>
  </si>
  <si>
    <t>STR-1066</t>
  </si>
  <si>
    <t>STR-1067</t>
  </si>
  <si>
    <t>STR-1068</t>
  </si>
  <si>
    <t>STR-1069</t>
  </si>
  <si>
    <t>STR-1070</t>
  </si>
  <si>
    <t>STR-1071</t>
  </si>
  <si>
    <t>STR-1072</t>
  </si>
  <si>
    <t>STR-1073</t>
  </si>
  <si>
    <t>STR-1074</t>
  </si>
  <si>
    <t>STR-1075</t>
  </si>
  <si>
    <t>STR-1076</t>
  </si>
  <si>
    <t>STR-1077</t>
  </si>
  <si>
    <t>STR-1078</t>
  </si>
  <si>
    <t>STR-1079</t>
  </si>
  <si>
    <t>STR-1080</t>
  </si>
  <si>
    <t>Note: Yellow cells = missing values (competitor_distance_km: 6 missing; customer_rating: 8 missing)</t>
  </si>
  <si>
    <t>Cleaned &amp; Prepared Data — Imputed Missing Values, Outlier Flags, Log Transforms</t>
  </si>
  <si>
    <t>Original Variables</t>
  </si>
  <si>
    <t>Imputed?</t>
  </si>
  <si>
    <t>Binary</t>
  </si>
  <si>
    <t>Rating (13) + Flag (14)</t>
  </si>
  <si>
    <t>Target Variables</t>
  </si>
  <si>
    <t>Flags &amp; Log Transforms</t>
  </si>
  <si>
    <t>competitor_distance_km_imputed</t>
  </si>
  <si>
    <t>customer_rating_imputed</t>
  </si>
  <si>
    <t>marketing_spend_outlier</t>
  </si>
  <si>
    <t>log_marketing_spend</t>
  </si>
  <si>
    <t>log_monthly_sales</t>
  </si>
  <si>
    <t>log_footfall</t>
  </si>
  <si>
    <t>Legend:</t>
  </si>
  <si>
    <t xml:space="preserve">  Red = Marketing Spend Outlier (&gt;3σ)</t>
  </si>
  <si>
    <t xml:space="preserve">  Yellow = Imputed Value (was missing)</t>
  </si>
  <si>
    <t>Dummy Variable Encoding — Region (ref: West) &amp; Store Type (ref: Residential)</t>
  </si>
  <si>
    <t>region_East
(vs West)</t>
  </si>
  <si>
    <t>region_North
(vs West)</t>
  </si>
  <si>
    <t>region_South
(vs West)</t>
  </si>
  <si>
    <t>type_Airport
(vs Residential)</t>
  </si>
  <si>
    <t>type_HighSt
(vs Residential)</t>
  </si>
  <si>
    <t>type_Mall
(vs Residential)</t>
  </si>
  <si>
    <t>Reference Categories: West (region) and Residential (store_type) are omitted to avoid multicollinearity — their effects are captured in the intercept.</t>
  </si>
  <si>
    <t>Simple Linear Regression: Monthly Sales ~ Footfall</t>
  </si>
  <si>
    <t>MODEL SPECIFICATION</t>
  </si>
  <si>
    <t>Model</t>
  </si>
  <si>
    <t>monthly_sales = β₀ + β₁·footfall + ε</t>
  </si>
  <si>
    <t>Observations (n)</t>
  </si>
  <si>
    <t>Predictors (k)</t>
  </si>
  <si>
    <t>MODEL FIT STATISTICS</t>
  </si>
  <si>
    <t>Metric</t>
  </si>
  <si>
    <t>Value</t>
  </si>
  <si>
    <t>Interpretation</t>
  </si>
  <si>
    <t>R² (R-squared)</t>
  </si>
  <si>
    <t>73.6% of variance in Monthly Sales explained by Footfall</t>
  </si>
  <si>
    <t>Adjusted R²</t>
  </si>
  <si>
    <t>Adjusts for number of predictors (same as R² for 1 predictor)</t>
  </si>
  <si>
    <t>RMSE</t>
  </si>
  <si>
    <t>Average prediction error in currency units</t>
  </si>
  <si>
    <t>MAE</t>
  </si>
  <si>
    <t>Mean Absolute Error — average absolute deviation from actual</t>
  </si>
  <si>
    <t>COEFFICIENT TABLE</t>
  </si>
  <si>
    <t>Term</t>
  </si>
  <si>
    <t>Coefficient</t>
  </si>
  <si>
    <t>Std Error (est.)</t>
  </si>
  <si>
    <t>t-Statistic</t>
  </si>
  <si>
    <t>p-value</t>
  </si>
  <si>
    <t>Significant?</t>
  </si>
  <si>
    <t>Intercept (β₀)</t>
  </si>
  <si>
    <t>—</t>
  </si>
  <si>
    <t>YES ***</t>
  </si>
  <si>
    <t>Base sales when footfall = 0</t>
  </si>
  <si>
    <t>Footfall (β₁)</t>
  </si>
  <si>
    <t>Each additional visitor adds ~$35.68 in monthly sales</t>
  </si>
  <si>
    <t>REGRESSION EQUATION</t>
  </si>
  <si>
    <t>monthly_sales = 446,410.58 + 35.6780 × footfall</t>
  </si>
  <si>
    <t>INTERPRETATION SUMMARY</t>
  </si>
  <si>
    <t>• The model explains 73.6% of variation in monthly sales (R² = 0.7363).</t>
  </si>
  <si>
    <t>• Every additional customer visit (footfall +1) is associated with ~$35.68 more in monthly sales.</t>
  </si>
  <si>
    <t>• The intercept (446,411) represents estimated base sales when footfall = 0 (theoretical).</t>
  </si>
  <si>
    <t>• The slope is highly significant (t = 29.80, p &lt; 0.001).</t>
  </si>
  <si>
    <t>• The model's average prediction error (RMSE) is $53,207.</t>
  </si>
  <si>
    <t>Multiple Linear Regression: Monthly Sales ~ 14 Predictors</t>
  </si>
  <si>
    <t>Predictors used</t>
  </si>
  <si>
    <t>footfall, staff_count, marketing_spend, avg_discount_pct, inventory_availability_pct, competitor_distance_km, customer_rating, holiday_flag, region_East, region_North, region_South, type_Airport, type_High Street, type_Mall</t>
  </si>
  <si>
    <t>85.7% of variance in Monthly Sales explained by all predictors</t>
  </si>
  <si>
    <t>Penalizes for 14 predictors; still strong at 85.0%</t>
  </si>
  <si>
    <t>Average prediction error = $39,196 (down from $53,207 in simple model)</t>
  </si>
  <si>
    <t>Mean absolute error = $30,893</t>
  </si>
  <si>
    <t>Improvement vs Simple</t>
  </si>
  <si>
    <t>R² improved by 12.1 percentage points over the simple model</t>
  </si>
  <si>
    <t>Variable Type</t>
  </si>
  <si>
    <t>intercept</t>
  </si>
  <si>
    <t>No</t>
  </si>
  <si>
    <t>Base</t>
  </si>
  <si>
    <t>Baseline sales when all predictors = 0</t>
  </si>
  <si>
    <t>Continuous</t>
  </si>
  <si>
    <t>Each +1 visitor adds $27.32 to monthly sales</t>
  </si>
  <si>
    <t>YES **</t>
  </si>
  <si>
    <t>Each +1 staff member adds $3,514 to monthly sales</t>
  </si>
  <si>
    <t>Continuous ($)</t>
  </si>
  <si>
    <t>Each $1 more in marketing adds $1.2097 in sales</t>
  </si>
  <si>
    <t>Continuous (%)</t>
  </si>
  <si>
    <t>Each +1pp discount reduces sales by $41213</t>
  </si>
  <si>
    <t>Each +1pp availability adds $3,062 in sales</t>
  </si>
  <si>
    <t>Continuous (km)</t>
  </si>
  <si>
    <t>Each +1km from competitor reduces sales by $3,440</t>
  </si>
  <si>
    <t>Continuous (1-5)</t>
  </si>
  <si>
    <t>Each +1 point in rating adds $12,337 to sales</t>
  </si>
  <si>
    <t>YES *</t>
  </si>
  <si>
    <t>Binary (0/1)</t>
  </si>
  <si>
    <t>Holiday months add $15,205 on average</t>
  </si>
  <si>
    <t>region_East</t>
  </si>
  <si>
    <t>Dummy (vs West)</t>
  </si>
  <si>
    <t>East region stores sell $25,305 less than West</t>
  </si>
  <si>
    <t>region_North</t>
  </si>
  <si>
    <t>North region stores sell $15,352 less than West</t>
  </si>
  <si>
    <t>region_South</t>
  </si>
  <si>
    <t>South region stores sell $4,221 less than West</t>
  </si>
  <si>
    <t>type_Airport</t>
  </si>
  <si>
    <t>Dummy (vs Residential)</t>
  </si>
  <si>
    <t>Airport stores sell $44,712 more than Residential</t>
  </si>
  <si>
    <t>type_High Street</t>
  </si>
  <si>
    <t>High Street stores sell $20,252 more than Residential</t>
  </si>
  <si>
    <t>type_Mall</t>
  </si>
  <si>
    <t>Mall stores sell $32,866 more than Residential</t>
  </si>
  <si>
    <t>• The full model explains 85.7% of variance in monthly sales (R² = 0.8569).</t>
  </si>
  <si>
    <t>• Adjusted R² = 0.8503, confirming the additional predictors genuinely improve the model.</t>
  </si>
  <si>
    <t>• Significant predictors (p&lt;0.05): footfall, staff_count, marketing_spend, inventory_availability_pct, competitor_distance_km, customer_rating, holiday_flag, region_East, region_North, type_Airport, type_High Street, type_Mall.</t>
  </si>
  <si>
    <t>• Non-significant predictors (p≥0.05): avg_discount_pct, region_South.</t>
  </si>
  <si>
    <t>• Footfall and staff count remain the dominant drivers; store type and region show structural differences.</t>
  </si>
  <si>
    <t>• RMSE improved from $53,207 (simple) to $39,196 (multiple).</t>
  </si>
  <si>
    <t>Predictions &amp; Residual Analysis — Simple vs Multiple Regression</t>
  </si>
  <si>
    <t>Actual
Sales</t>
  </si>
  <si>
    <t>Simple
Predicted</t>
  </si>
  <si>
    <t>Simple
Residual</t>
  </si>
  <si>
    <t>Simple
Std Residual</t>
  </si>
  <si>
    <t>Multiple
Predicted</t>
  </si>
  <si>
    <t>Multiple
Residual</t>
  </si>
  <si>
    <t>Multiple
Std Residual</t>
  </si>
  <si>
    <t xml:space="preserve">  |Std Residual| &gt; 2 = potential outlier</t>
  </si>
  <si>
    <t xml:space="preserve">  |Std Residual| &gt; 1.5 = watch</t>
  </si>
  <si>
    <t>Model Comparison Summary — Simple vs Multiple Regression</t>
  </si>
  <si>
    <t>PERFORMANCE METRICS COMPARISON</t>
  </si>
  <si>
    <t>Simple Model
(Footfall only)</t>
  </si>
  <si>
    <t>Multiple Model
(14 Predictors)</t>
  </si>
  <si>
    <t>Improvement</t>
  </si>
  <si>
    <t>Better Model?</t>
  </si>
  <si>
    <t>Multiple ✓</t>
  </si>
  <si>
    <t>RMSE ($)</t>
  </si>
  <si>
    <t>MAE ($)</t>
  </si>
  <si>
    <t>SIMPLE MODEL EQUATION</t>
  </si>
  <si>
    <t>Monthly Sales = 446,410.58 + 35.6780 × Footfall</t>
  </si>
  <si>
    <t>MULTIPLE MODEL EQUATION</t>
  </si>
  <si>
    <t>Monthly Sales = 67,570.89 (intercept) + 27.3237×footfall + 3513.9647×staff_count + 1.2097×marketing_spend - 41212.8036×avg_discount_pct + 3062.0694×inventory_availability_pct - 3440.0915×competitor_distance_km + 12337.2153×customer_rating + 15204.6277×holiday_flag - 25304.8572×region_East - 15351.7470×region_North - 4221.3541×region_South + 44712.4854×type_Airport + 20252.1532×type_High Street + 32865.9511×type_Mall</t>
  </si>
  <si>
    <t>VERDICT &amp; RECOMMENDATION</t>
  </si>
  <si>
    <t>✓  RMSE reduced by $14,010, meaning the multiple model predicts ~26% more accurately.</t>
  </si>
  <si>
    <t>✓  Key drivers are: Footfall, Staff Count, Marketing Spend, and Store Type (Airport/Mall have premium sales).</t>
  </si>
  <si>
    <t>⚠  avg_discount_pct, customer_rating, and some regional dummies are not statistically significant (p&gt;0.05).</t>
  </si>
  <si>
    <r>
      <t xml:space="preserve">✓  </t>
    </r>
    <r>
      <rPr>
        <b/>
        <sz val="10"/>
        <color rgb="FF3D3D3D"/>
        <rFont val="Arial"/>
        <family val="2"/>
      </rPr>
      <t>The Multiple Regression model is substantially better:</t>
    </r>
    <r>
      <rPr>
        <sz val="10"/>
        <color rgb="FF3D3D3D"/>
        <rFont val="Arial"/>
        <charset val="1"/>
      </rPr>
      <t xml:space="preserve"> R² = 0.8569 vs 0.7363 (+12.1 pp).</t>
    </r>
  </si>
  <si>
    <t>→  Recommended next step: re-run a reduced model dropping non-significant predictors for better prediction equation</t>
  </si>
  <si>
    <t>The footfall model (R² = 0.7363, RMSE = $53,207) outperforms this model (R² = 0.6523, RMSE = $61,095), but staff count is a more actionable management lever for operational decisions.</t>
  </si>
  <si>
    <t>▸  Comparison vs Footfall Model:</t>
  </si>
  <si>
    <t>Staff Count alone leaves 34.8% of sales variance unexplained. Adding footfall, marketing spend, and store type (as in the multiple regression model) raises explanatory power to 85.7%.</t>
  </si>
  <si>
    <t>▸  Limitation:</t>
  </si>
  <si>
    <t>RMSE = $61,095. 14 of 320 observations have |standardized residual| &gt; 2, suggesting a small number of stores perform notably above or below what headcount alone predicts.</t>
  </si>
  <si>
    <t>▸  Residual Analysis:</t>
  </si>
  <si>
    <t>Both the intercept (t = 33.47) and slope (t = 24.42) are highly significant (p &lt; 0.001). The F-statistic = 596.6 confirms the overall model is valid.</t>
  </si>
  <si>
    <t>▸  Statistical Significance:</t>
  </si>
  <si>
    <t>The base sales of $400,551 when Staff Count = 0 is a theoretical construct; it anchors the regression line.</t>
  </si>
  <si>
    <t>▸  Intercept:</t>
  </si>
  <si>
    <t>For every additional staff member, Monthly Sales increase by approximately $16,984 — reflecting that larger, better-staffed stores generate significantly more revenue.</t>
  </si>
  <si>
    <t>▸  Slope Interpretation:</t>
  </si>
  <si>
    <t>Pearson r = 0.8076, confirming a strong positive linear association between staff headcount and revenue.</t>
  </si>
  <si>
    <t>▸  Correlation:</t>
  </si>
  <si>
    <t>R² = 0.6523 — Staff Count explains 65.2% of the variation in Monthly Sales. This indicates a strong single-predictor relationship.</t>
  </si>
  <si>
    <t>▸  Model Fit:</t>
  </si>
  <si>
    <t>F.  INTERPRETATION &amp; KEY FINDINGS</t>
  </si>
  <si>
    <t>Monthly Sales  =  400,551.47  +  16,984.0288 × Staff Count</t>
  </si>
  <si>
    <t>D.  REGRESSION EQUATION</t>
  </si>
  <si>
    <t>Each additional staff member adds ≈ $16,984 in monthly sales</t>
  </si>
  <si>
    <t>&lt; 0.0001</t>
  </si>
  <si>
    <t>Staff Count (β₁)</t>
  </si>
  <si>
    <t>Estimated base sales when Staff Count = 0 (theoretical baseline)</t>
  </si>
  <si>
    <t>Coefficient (β)</t>
  </si>
  <si>
    <t>C.  COEFFICIENT TABLE</t>
  </si>
  <si>
    <t>Total</t>
  </si>
  <si>
    <t>Residual (Error)</t>
  </si>
  <si>
    <t>Regression (Model)</t>
  </si>
  <si>
    <t>F-Statistic</t>
  </si>
  <si>
    <t>MS</t>
  </si>
  <si>
    <t>df</t>
  </si>
  <si>
    <t>SS</t>
  </si>
  <si>
    <t>Source</t>
  </si>
  <si>
    <t>B.  ANOVA TABLE</t>
  </si>
  <si>
    <t>320 store-month records</t>
  </si>
  <si>
    <t>Model is statistically significant (p &lt; 0.001)</t>
  </si>
  <si>
    <t>Average absolute deviation from actual ≈ $48,943</t>
  </si>
  <si>
    <t>Mean Absolute Error (MAE)</t>
  </si>
  <si>
    <t>Average prediction error ≈ $61,095</t>
  </si>
  <si>
    <t>Root Mean Squared Error (RMSE)</t>
  </si>
  <si>
    <t>Adjusts for 1 predictor — same as R² with 1 IV</t>
  </si>
  <si>
    <t>65.2% of variance in Monthly Sales explained by Staff Count</t>
  </si>
  <si>
    <t>R² (Coefficient of Determination)</t>
  </si>
  <si>
    <t>Strong positive linear relationship with monthly sales</t>
  </si>
  <si>
    <t>Pearson Correlation (r)</t>
  </si>
  <si>
    <t>Benchmark / Context</t>
  </si>
  <si>
    <t>A.  MODEL FIT STATISTICS</t>
  </si>
  <si>
    <t>Independent Variable: Staff Count  |  Dependent Variable: Monthly Sales  |  n = 320 observations</t>
  </si>
  <si>
    <t>SIMPLE LINEAR REGRESSION  |  Monthly Sales ~ Staff Count</t>
  </si>
</sst>
</file>

<file path=xl/styles.xml><?xml version="1.0" encoding="utf-8"?>
<styleSheet xmlns="http://schemas.openxmlformats.org/spreadsheetml/2006/main">
  <numFmts count="5">
    <numFmt numFmtId="164" formatCode="mmm\-yyyy"/>
    <numFmt numFmtId="165" formatCode="0.0%"/>
    <numFmt numFmtId="166" formatCode="0.0000"/>
    <numFmt numFmtId="167" formatCode="#,##0.0000"/>
    <numFmt numFmtId="168" formatCode="0.000000"/>
  </numFmts>
  <fonts count="37">
    <font>
      <sz val="11"/>
      <color theme="1"/>
      <name val="Calibri"/>
      <family val="2"/>
      <charset val="1"/>
    </font>
    <font>
      <b/>
      <sz val="12"/>
      <color rgb="FF1F4E79"/>
      <name val="Arial"/>
      <charset val="1"/>
    </font>
    <font>
      <b/>
      <sz val="10"/>
      <color rgb="FFFFFFFF"/>
      <name val="Arial"/>
      <charset val="1"/>
    </font>
    <font>
      <sz val="9"/>
      <name val="Arial"/>
      <charset val="1"/>
    </font>
    <font>
      <i/>
      <sz val="9"/>
      <color rgb="FFC55A11"/>
      <name val="Arial"/>
      <charset val="1"/>
    </font>
    <font>
      <i/>
      <sz val="9"/>
      <color rgb="FF7F7F7F"/>
      <name val="Arial"/>
      <charset val="1"/>
    </font>
    <font>
      <b/>
      <sz val="9"/>
      <color rgb="FFFFFFFF"/>
      <name val="Arial"/>
      <charset val="1"/>
    </font>
    <font>
      <b/>
      <sz val="9"/>
      <color rgb="FFC00000"/>
      <name val="Arial"/>
      <charset val="1"/>
    </font>
    <font>
      <b/>
      <sz val="9"/>
      <color rgb="FFC55A11"/>
      <name val="Arial"/>
      <charset val="1"/>
    </font>
    <font>
      <b/>
      <sz val="10"/>
      <color rgb="FF000000"/>
      <name val="Arial"/>
      <charset val="1"/>
    </font>
    <font>
      <sz val="9"/>
      <color rgb="FFC00000"/>
      <name val="Arial"/>
      <charset val="1"/>
    </font>
    <font>
      <sz val="9"/>
      <color rgb="FFC55A11"/>
      <name val="Arial"/>
      <charset val="1"/>
    </font>
    <font>
      <b/>
      <sz val="9"/>
      <color rgb="FF1F4E79"/>
      <name val="Arial"/>
      <charset val="1"/>
    </font>
    <font>
      <b/>
      <sz val="9"/>
      <color rgb="FF375623"/>
      <name val="Arial"/>
      <charset val="1"/>
    </font>
    <font>
      <b/>
      <sz val="11"/>
      <color rgb="FFFFFFFF"/>
      <name val="Arial"/>
      <charset val="1"/>
    </font>
    <font>
      <b/>
      <sz val="10"/>
      <color rgb="FF1F4E79"/>
      <name val="Arial"/>
      <charset val="1"/>
    </font>
    <font>
      <sz val="10"/>
      <color rgb="FF000000"/>
      <name val="Arial"/>
      <charset val="1"/>
    </font>
    <font>
      <sz val="10"/>
      <color rgb="FF595959"/>
      <name val="Arial"/>
      <charset val="1"/>
    </font>
    <font>
      <sz val="10"/>
      <color rgb="FF7F7F7F"/>
      <name val="Arial"/>
      <charset val="1"/>
    </font>
    <font>
      <b/>
      <sz val="10"/>
      <color rgb="FF375623"/>
      <name val="Arial"/>
      <charset val="1"/>
    </font>
    <font>
      <b/>
      <sz val="12"/>
      <color rgb="FFFFFFFF"/>
      <name val="Arial"/>
      <charset val="1"/>
    </font>
    <font>
      <sz val="10"/>
      <color rgb="FF3D3D3D"/>
      <name val="Arial"/>
      <charset val="1"/>
    </font>
    <font>
      <b/>
      <sz val="10"/>
      <color rgb="FFC00000"/>
      <name val="Arial"/>
      <charset val="1"/>
    </font>
    <font>
      <b/>
      <sz val="10"/>
      <color rgb="FF3D3D3D"/>
      <name val="Arial"/>
      <family val="2"/>
    </font>
    <font>
      <sz val="10"/>
      <color rgb="FF3D3D3D"/>
      <name val="Arial"/>
      <family val="2"/>
    </font>
    <font>
      <b/>
      <sz val="10"/>
      <color rgb="FF1F4E79"/>
      <name val="Arial"/>
      <family val="2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b/>
      <sz val="13"/>
      <color rgb="FFFFFFFF"/>
      <name val="Arial"/>
      <family val="2"/>
    </font>
    <font>
      <i/>
      <sz val="9"/>
      <color rgb="FF595959"/>
      <name val="Arial"/>
      <family val="2"/>
    </font>
    <font>
      <b/>
      <sz val="10"/>
      <color rgb="FF375623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i/>
      <sz val="10"/>
      <color rgb="FF1F4E79"/>
      <name val="Arial"/>
      <family val="2"/>
    </font>
    <font>
      <b/>
      <sz val="14"/>
      <color rgb="FFFFFFFF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EF3F9"/>
        <bgColor rgb="FFF0F7FF"/>
      </patternFill>
    </fill>
    <fill>
      <patternFill patternType="solid">
        <fgColor rgb="FFFFF2CC"/>
        <bgColor rgb="FFFFE0E0"/>
      </patternFill>
    </fill>
    <fill>
      <patternFill patternType="solid">
        <fgColor rgb="FF2E75B6"/>
        <bgColor rgb="FF4472C4"/>
      </patternFill>
    </fill>
    <fill>
      <patternFill patternType="solid">
        <fgColor rgb="FF833C11"/>
        <bgColor rgb="FF993366"/>
      </patternFill>
    </fill>
    <fill>
      <patternFill patternType="solid">
        <fgColor rgb="FF375623"/>
        <bgColor rgb="FF3D3D3D"/>
      </patternFill>
    </fill>
    <fill>
      <patternFill patternType="solid">
        <fgColor rgb="FFFFE0E0"/>
        <bgColor rgb="FFFFF2CC"/>
      </patternFill>
    </fill>
    <fill>
      <patternFill patternType="solid">
        <fgColor rgb="FF4472C4"/>
        <bgColor rgb="FF2E75B6"/>
      </patternFill>
    </fill>
    <fill>
      <patternFill patternType="solid">
        <fgColor rgb="FFD6E4F7"/>
        <bgColor rgb="FFDEEAF1"/>
      </patternFill>
    </fill>
    <fill>
      <patternFill patternType="solid">
        <fgColor rgb="FFE2EFDA"/>
        <bgColor rgb="FFDEEAF1"/>
      </patternFill>
    </fill>
    <fill>
      <patternFill patternType="solid">
        <fgColor rgb="FFBDD7EE"/>
        <bgColor rgb="FFD6E4F7"/>
      </patternFill>
    </fill>
    <fill>
      <patternFill patternType="solid">
        <fgColor rgb="FF548235"/>
        <bgColor rgb="FF339966"/>
      </patternFill>
    </fill>
    <fill>
      <patternFill patternType="solid">
        <fgColor rgb="FFF0F7FF"/>
        <bgColor rgb="FFEEF3F9"/>
      </patternFill>
    </fill>
    <fill>
      <patternFill patternType="solid">
        <fgColor rgb="FFDEEAF1"/>
        <bgColor rgb="FFD6E4F7"/>
      </patternFill>
    </fill>
    <fill>
      <patternFill patternType="solid">
        <fgColor rgb="FFF2F2F2"/>
        <bgColor rgb="FFEEF3F9"/>
      </patternFill>
    </fill>
    <fill>
      <patternFill patternType="solid">
        <fgColor rgb="FFFFFFFF"/>
        <bgColor rgb="FFF2F2F2"/>
      </patternFill>
    </fill>
    <fill>
      <patternFill patternType="solid">
        <fgColor rgb="FFEEF3F9"/>
        <bgColor rgb="FFF2F2F2"/>
      </patternFill>
    </fill>
    <fill>
      <patternFill patternType="solid">
        <fgColor rgb="FF1F4E79"/>
        <bgColor rgb="FF17375E"/>
      </patternFill>
    </fill>
    <fill>
      <patternFill patternType="solid">
        <fgColor rgb="FF17375E"/>
        <bgColor rgb="FF1F4E79"/>
      </patternFill>
    </fill>
    <fill>
      <patternFill patternType="solid">
        <fgColor rgb="FFBDD7EE"/>
        <bgColor rgb="FF99CCFF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8">
    <xf numFmtId="0" fontId="0" fillId="0" borderId="0" xfId="0"/>
    <xf numFmtId="0" fontId="14" fillId="7" borderId="0" xfId="0" applyFont="1" applyFill="1" applyBorder="1" applyAlignment="1">
      <alignment horizontal="left" vertical="center"/>
    </xf>
    <xf numFmtId="0" fontId="17" fillId="3" borderId="0" xfId="0" applyFont="1" applyFill="1" applyBorder="1" applyAlignment="1">
      <alignment horizontal="left" vertical="center"/>
    </xf>
    <xf numFmtId="0" fontId="17" fillId="0" borderId="0" xfId="0" applyFont="1" applyBorder="1" applyAlignment="1">
      <alignment horizontal="left" vertical="center"/>
    </xf>
    <xf numFmtId="0" fontId="15" fillId="12" borderId="0" xfId="0" applyFont="1" applyFill="1" applyBorder="1" applyAlignment="1">
      <alignment horizontal="center" vertical="center"/>
    </xf>
    <xf numFmtId="0" fontId="14" fillId="5" borderId="0" xfId="0" applyFont="1" applyFill="1" applyBorder="1" applyAlignment="1">
      <alignment horizontal="left" vertical="center"/>
    </xf>
    <xf numFmtId="0" fontId="14" fillId="2" borderId="0" xfId="0" applyFont="1" applyFill="1" applyBorder="1" applyAlignment="1">
      <alignment horizontal="left" vertical="center"/>
    </xf>
    <xf numFmtId="0" fontId="11" fillId="4" borderId="0" xfId="0" applyFont="1" applyFill="1" applyBorder="1"/>
    <xf numFmtId="0" fontId="10" fillId="8" borderId="0" xfId="0" applyFont="1" applyFill="1" applyBorder="1"/>
    <xf numFmtId="0" fontId="6" fillId="6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5" fillId="0" borderId="0" xfId="0" applyFont="1" applyBorder="1"/>
    <xf numFmtId="0" fontId="1" fillId="0" borderId="0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164" fontId="3" fillId="3" borderId="1" xfId="0" applyNumberFormat="1" applyFont="1" applyFill="1" applyBorder="1" applyAlignment="1">
      <alignment horizontal="left" vertical="center"/>
    </xf>
    <xf numFmtId="4" fontId="3" fillId="3" borderId="1" xfId="0" applyNumberFormat="1" applyFont="1" applyFill="1" applyBorder="1" applyAlignment="1">
      <alignment horizontal="left" vertical="center"/>
    </xf>
    <xf numFmtId="165" fontId="3" fillId="3" borderId="1" xfId="0" applyNumberFormat="1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166" fontId="3" fillId="3" borderId="1" xfId="0" applyNumberFormat="1" applyFont="1" applyFill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4" fontId="7" fillId="8" borderId="1" xfId="0" applyNumberFormat="1" applyFont="1" applyFill="1" applyBorder="1" applyAlignment="1">
      <alignment horizontal="left" vertical="center"/>
    </xf>
    <xf numFmtId="4" fontId="8" fillId="4" borderId="1" xfId="0" applyNumberFormat="1" applyFont="1" applyFill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2" fillId="9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center" vertical="center"/>
    </xf>
    <xf numFmtId="4" fontId="3" fillId="3" borderId="1" xfId="0" applyNumberFormat="1" applyFont="1" applyFill="1" applyBorder="1" applyAlignment="1">
      <alignment horizontal="right"/>
    </xf>
    <xf numFmtId="0" fontId="3" fillId="0" borderId="1" xfId="0" applyFont="1" applyBorder="1" applyAlignment="1">
      <alignment horizontal="center" vertical="center"/>
    </xf>
    <xf numFmtId="4" fontId="3" fillId="0" borderId="1" xfId="0" applyNumberFormat="1" applyFont="1" applyBorder="1" applyAlignment="1">
      <alignment horizontal="right"/>
    </xf>
    <xf numFmtId="0" fontId="13" fillId="11" borderId="1" xfId="0" applyFont="1" applyFill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3" fontId="16" fillId="0" borderId="0" xfId="0" applyNumberFormat="1" applyFont="1" applyAlignment="1">
      <alignment horizontal="left" vertical="center"/>
    </xf>
    <xf numFmtId="0" fontId="15" fillId="12" borderId="0" xfId="0" applyFont="1" applyFill="1" applyAlignment="1">
      <alignment horizontal="center" vertical="center"/>
    </xf>
    <xf numFmtId="166" fontId="16" fillId="0" borderId="0" xfId="0" applyNumberFormat="1" applyFont="1" applyAlignment="1">
      <alignment horizontal="right" vertical="center"/>
    </xf>
    <xf numFmtId="0" fontId="9" fillId="3" borderId="0" xfId="0" applyFont="1" applyFill="1" applyAlignment="1">
      <alignment horizontal="left" vertical="center"/>
    </xf>
    <xf numFmtId="166" fontId="16" fillId="3" borderId="0" xfId="0" applyNumberFormat="1" applyFont="1" applyFill="1" applyAlignment="1">
      <alignment horizontal="right" vertical="center"/>
    </xf>
    <xf numFmtId="4" fontId="16" fillId="0" borderId="0" xfId="0" applyNumberFormat="1" applyFont="1" applyAlignment="1">
      <alignment horizontal="right" vertical="center"/>
    </xf>
    <xf numFmtId="4" fontId="16" fillId="3" borderId="0" xfId="0" applyNumberFormat="1" applyFont="1" applyFill="1" applyAlignment="1">
      <alignment horizontal="right" vertical="center"/>
    </xf>
    <xf numFmtId="167" fontId="16" fillId="3" borderId="0" xfId="0" applyNumberFormat="1" applyFont="1" applyFill="1" applyAlignment="1">
      <alignment horizontal="right" vertical="center"/>
    </xf>
    <xf numFmtId="0" fontId="18" fillId="3" borderId="0" xfId="0" applyFont="1" applyFill="1" applyAlignment="1">
      <alignment horizontal="center" vertical="center"/>
    </xf>
    <xf numFmtId="168" fontId="16" fillId="3" borderId="0" xfId="0" applyNumberFormat="1" applyFont="1" applyFill="1" applyAlignment="1">
      <alignment horizontal="right" vertical="center"/>
    </xf>
    <xf numFmtId="0" fontId="19" fillId="3" borderId="0" xfId="0" applyFont="1" applyFill="1" applyAlignment="1">
      <alignment horizontal="center"/>
    </xf>
    <xf numFmtId="167" fontId="16" fillId="0" borderId="0" xfId="0" applyNumberFormat="1" applyFont="1" applyAlignment="1">
      <alignment horizontal="right" vertical="center"/>
    </xf>
    <xf numFmtId="0" fontId="18" fillId="0" borderId="0" xfId="0" applyFont="1" applyAlignment="1">
      <alignment horizontal="center" vertical="center"/>
    </xf>
    <xf numFmtId="168" fontId="16" fillId="0" borderId="0" xfId="0" applyNumberFormat="1" applyFont="1" applyAlignment="1">
      <alignment horizontal="right" vertical="center"/>
    </xf>
    <xf numFmtId="0" fontId="19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17" fillId="0" borderId="0" xfId="0" applyFont="1" applyAlignment="1">
      <alignment horizontal="left" vertical="center"/>
    </xf>
    <xf numFmtId="0" fontId="16" fillId="14" borderId="0" xfId="0" applyFont="1" applyFill="1" applyAlignment="1">
      <alignment horizontal="left" vertical="center"/>
    </xf>
    <xf numFmtId="167" fontId="16" fillId="14" borderId="0" xfId="0" applyNumberFormat="1" applyFont="1" applyFill="1" applyAlignment="1">
      <alignment horizontal="right" vertical="center"/>
    </xf>
    <xf numFmtId="166" fontId="16" fillId="14" borderId="0" xfId="0" applyNumberFormat="1" applyFont="1" applyFill="1" applyAlignment="1">
      <alignment horizontal="right" vertical="center"/>
    </xf>
    <xf numFmtId="168" fontId="16" fillId="14" borderId="0" xfId="0" applyNumberFormat="1" applyFont="1" applyFill="1" applyAlignment="1">
      <alignment horizontal="right" vertical="center"/>
    </xf>
    <xf numFmtId="0" fontId="19" fillId="14" borderId="0" xfId="0" applyFont="1" applyFill="1" applyAlignment="1">
      <alignment horizontal="center"/>
    </xf>
    <xf numFmtId="0" fontId="17" fillId="14" borderId="0" xfId="0" applyFont="1" applyFill="1" applyAlignment="1">
      <alignment horizontal="left" vertical="center"/>
    </xf>
    <xf numFmtId="0" fontId="22" fillId="14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/>
    </xf>
    <xf numFmtId="164" fontId="3" fillId="3" borderId="1" xfId="0" applyNumberFormat="1" applyFont="1" applyFill="1" applyBorder="1" applyAlignment="1">
      <alignment horizontal="center"/>
    </xf>
    <xf numFmtId="4" fontId="10" fillId="3" borderId="1" xfId="0" applyNumberFormat="1" applyFont="1" applyFill="1" applyBorder="1" applyAlignment="1">
      <alignment horizontal="right"/>
    </xf>
    <xf numFmtId="166" fontId="3" fillId="4" borderId="1" xfId="0" applyNumberFormat="1" applyFont="1" applyFill="1" applyBorder="1" applyAlignment="1">
      <alignment horizontal="right"/>
    </xf>
    <xf numFmtId="166" fontId="3" fillId="3" borderId="1" xfId="0" applyNumberFormat="1" applyFont="1" applyFill="1" applyBorder="1" applyAlignment="1">
      <alignment horizontal="right"/>
    </xf>
    <xf numFmtId="0" fontId="3" fillId="0" borderId="1" xfId="0" applyFont="1" applyBorder="1" applyAlignment="1">
      <alignment horizontal="left"/>
    </xf>
    <xf numFmtId="164" fontId="3" fillId="0" borderId="1" xfId="0" applyNumberFormat="1" applyFont="1" applyBorder="1" applyAlignment="1">
      <alignment horizontal="center"/>
    </xf>
    <xf numFmtId="4" fontId="10" fillId="0" borderId="1" xfId="0" applyNumberFormat="1" applyFont="1" applyBorder="1" applyAlignment="1">
      <alignment horizontal="right"/>
    </xf>
    <xf numFmtId="166" fontId="7" fillId="8" borderId="1" xfId="0" applyNumberFormat="1" applyFont="1" applyFill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0" fontId="2" fillId="5" borderId="0" xfId="0" applyFont="1" applyFill="1" applyAlignment="1">
      <alignment horizontal="center" vertical="center" wrapText="1"/>
    </xf>
    <xf numFmtId="166" fontId="16" fillId="15" borderId="0" xfId="0" applyNumberFormat="1" applyFont="1" applyFill="1" applyAlignment="1">
      <alignment horizontal="right" vertical="center"/>
    </xf>
    <xf numFmtId="166" fontId="16" fillId="11" borderId="0" xfId="0" applyNumberFormat="1" applyFont="1" applyFill="1" applyAlignment="1">
      <alignment horizontal="right" vertical="center"/>
    </xf>
    <xf numFmtId="166" fontId="19" fillId="11" borderId="0" xfId="0" applyNumberFormat="1" applyFont="1" applyFill="1" applyAlignment="1">
      <alignment horizontal="right"/>
    </xf>
    <xf numFmtId="4" fontId="16" fillId="15" borderId="0" xfId="0" applyNumberFormat="1" applyFont="1" applyFill="1" applyAlignment="1">
      <alignment horizontal="right" vertical="center"/>
    </xf>
    <xf numFmtId="4" fontId="16" fillId="11" borderId="0" xfId="0" applyNumberFormat="1" applyFont="1" applyFill="1" applyAlignment="1">
      <alignment horizontal="right" vertical="center"/>
    </xf>
    <xf numFmtId="4" fontId="19" fillId="11" borderId="0" xfId="0" applyNumberFormat="1" applyFont="1" applyFill="1" applyAlignment="1">
      <alignment horizontal="right"/>
    </xf>
    <xf numFmtId="0" fontId="20" fillId="13" borderId="0" xfId="0" applyFont="1" applyFill="1" applyBorder="1" applyAlignment="1">
      <alignment horizontal="center" vertical="center"/>
    </xf>
    <xf numFmtId="0" fontId="14" fillId="6" borderId="0" xfId="0" applyFont="1" applyFill="1" applyBorder="1" applyAlignment="1">
      <alignment horizontal="left" vertical="center"/>
    </xf>
    <xf numFmtId="0" fontId="21" fillId="0" borderId="0" xfId="0" applyFont="1" applyBorder="1" applyAlignment="1">
      <alignment wrapText="1"/>
    </xf>
    <xf numFmtId="0" fontId="17" fillId="14" borderId="0" xfId="0" applyFont="1" applyFill="1" applyBorder="1" applyAlignment="1">
      <alignment horizontal="left" vertical="center"/>
    </xf>
    <xf numFmtId="0" fontId="14" fillId="9" borderId="0" xfId="0" applyFont="1" applyFill="1" applyBorder="1" applyAlignment="1">
      <alignment horizontal="left" vertical="center"/>
    </xf>
    <xf numFmtId="0" fontId="14" fillId="9" borderId="0" xfId="0" applyFont="1" applyFill="1" applyBorder="1" applyAlignment="1">
      <alignment horizontal="center"/>
    </xf>
    <xf numFmtId="0" fontId="6" fillId="13" borderId="0" xfId="0" applyFont="1" applyFill="1" applyBorder="1" applyAlignment="1">
      <alignment horizontal="left" wrapText="1"/>
    </xf>
    <xf numFmtId="0" fontId="16" fillId="0" borderId="0" xfId="0" applyFont="1" applyBorder="1" applyAlignment="1">
      <alignment horizontal="left" wrapText="1"/>
    </xf>
    <xf numFmtId="0" fontId="21" fillId="0" borderId="0" xfId="0" applyFont="1" applyBorder="1" applyAlignment="1">
      <alignment vertical="top" wrapText="1"/>
    </xf>
    <xf numFmtId="0" fontId="24" fillId="0" borderId="0" xfId="0" applyFont="1" applyBorder="1" applyAlignment="1">
      <alignment wrapText="1"/>
    </xf>
    <xf numFmtId="0" fontId="24" fillId="0" borderId="0" xfId="0" applyFont="1" applyBorder="1" applyAlignment="1"/>
    <xf numFmtId="0" fontId="21" fillId="0" borderId="0" xfId="0" applyFont="1" applyBorder="1" applyAlignment="1"/>
    <xf numFmtId="0" fontId="24" fillId="16" borderId="1" xfId="0" applyFont="1" applyFill="1" applyBorder="1" applyAlignment="1">
      <alignment horizontal="left" vertical="center" wrapText="1"/>
    </xf>
    <xf numFmtId="0" fontId="25" fillId="16" borderId="1" xfId="0" applyFont="1" applyFill="1" applyBorder="1" applyAlignment="1">
      <alignment horizontal="left" vertical="center"/>
    </xf>
    <xf numFmtId="0" fontId="26" fillId="6" borderId="0" xfId="0" applyFont="1" applyFill="1" applyBorder="1" applyAlignment="1">
      <alignment horizontal="left" vertical="center"/>
    </xf>
    <xf numFmtId="0" fontId="28" fillId="13" borderId="0" xfId="0" applyFont="1" applyFill="1" applyBorder="1" applyAlignment="1">
      <alignment horizontal="center" vertical="center"/>
    </xf>
    <xf numFmtId="0" fontId="26" fillId="7" borderId="0" xfId="0" applyFont="1" applyFill="1" applyBorder="1" applyAlignment="1">
      <alignment horizontal="left" vertical="center"/>
    </xf>
    <xf numFmtId="0" fontId="29" fillId="0" borderId="2" xfId="0" applyFont="1" applyBorder="1" applyAlignment="1">
      <alignment horizontal="left" vertical="center" wrapText="1"/>
    </xf>
    <xf numFmtId="0" fontId="30" fillId="0" borderId="1" xfId="0" applyFont="1" applyBorder="1" applyAlignment="1">
      <alignment horizontal="center"/>
    </xf>
    <xf numFmtId="0" fontId="30" fillId="0" borderId="1" xfId="0" applyFont="1" applyBorder="1" applyAlignment="1">
      <alignment horizontal="right"/>
    </xf>
    <xf numFmtId="166" fontId="31" fillId="0" borderId="1" xfId="0" applyNumberFormat="1" applyFont="1" applyBorder="1" applyAlignment="1">
      <alignment horizontal="right" vertical="center"/>
    </xf>
    <xf numFmtId="167" fontId="32" fillId="0" borderId="1" xfId="0" applyNumberFormat="1" applyFont="1" applyBorder="1" applyAlignment="1">
      <alignment horizontal="right" vertical="center"/>
    </xf>
    <xf numFmtId="0" fontId="25" fillId="0" borderId="1" xfId="0" applyFont="1" applyBorder="1" applyAlignment="1">
      <alignment horizontal="left" vertical="center"/>
    </xf>
    <xf numFmtId="0" fontId="29" fillId="18" borderId="2" xfId="0" applyFont="1" applyFill="1" applyBorder="1" applyAlignment="1">
      <alignment horizontal="left" vertical="center" wrapText="1"/>
    </xf>
    <xf numFmtId="0" fontId="30" fillId="18" borderId="1" xfId="0" applyFont="1" applyFill="1" applyBorder="1" applyAlignment="1">
      <alignment horizontal="center"/>
    </xf>
    <xf numFmtId="0" fontId="30" fillId="18" borderId="1" xfId="0" applyFont="1" applyFill="1" applyBorder="1" applyAlignment="1">
      <alignment horizontal="right"/>
    </xf>
    <xf numFmtId="166" fontId="31" fillId="18" borderId="1" xfId="0" applyNumberFormat="1" applyFont="1" applyFill="1" applyBorder="1" applyAlignment="1">
      <alignment horizontal="right" vertical="center"/>
    </xf>
    <xf numFmtId="167" fontId="32" fillId="18" borderId="1" xfId="0" applyNumberFormat="1" applyFont="1" applyFill="1" applyBorder="1" applyAlignment="1">
      <alignment horizontal="right" vertical="center"/>
    </xf>
    <xf numFmtId="0" fontId="25" fillId="18" borderId="1" xfId="0" applyFont="1" applyFill="1" applyBorder="1" applyAlignment="1">
      <alignment horizontal="left" vertical="center"/>
    </xf>
    <xf numFmtId="0" fontId="27" fillId="5" borderId="2" xfId="0" applyFont="1" applyFill="1" applyBorder="1" applyAlignment="1">
      <alignment horizontal="center" vertical="center"/>
    </xf>
    <xf numFmtId="0" fontId="27" fillId="5" borderId="1" xfId="0" applyFont="1" applyFill="1" applyBorder="1" applyAlignment="1">
      <alignment horizontal="center" vertical="center"/>
    </xf>
    <xf numFmtId="0" fontId="26" fillId="19" borderId="0" xfId="0" applyFont="1" applyFill="1" applyBorder="1" applyAlignment="1">
      <alignment horizontal="left" vertical="center"/>
    </xf>
    <xf numFmtId="49" fontId="33" fillId="18" borderId="1" xfId="0" applyNumberFormat="1" applyFont="1" applyFill="1" applyBorder="1" applyAlignment="1">
      <alignment horizontal="right" vertical="center"/>
    </xf>
    <xf numFmtId="166" fontId="33" fillId="18" borderId="1" xfId="0" applyNumberFormat="1" applyFont="1" applyFill="1" applyBorder="1" applyAlignment="1">
      <alignment horizontal="right" vertical="center"/>
    </xf>
    <xf numFmtId="4" fontId="33" fillId="18" borderId="1" xfId="0" applyNumberFormat="1" applyFont="1" applyFill="1" applyBorder="1" applyAlignment="1">
      <alignment horizontal="right" vertical="center"/>
    </xf>
    <xf numFmtId="3" fontId="33" fillId="18" borderId="1" xfId="0" applyNumberFormat="1" applyFont="1" applyFill="1" applyBorder="1" applyAlignment="1">
      <alignment horizontal="right" vertical="center"/>
    </xf>
    <xf numFmtId="0" fontId="32" fillId="18" borderId="1" xfId="0" applyFont="1" applyFill="1" applyBorder="1" applyAlignment="1">
      <alignment horizontal="left" vertical="center"/>
    </xf>
    <xf numFmtId="49" fontId="34" fillId="17" borderId="1" xfId="0" applyNumberFormat="1" applyFont="1" applyFill="1" applyBorder="1" applyAlignment="1">
      <alignment horizontal="right" vertical="center"/>
    </xf>
    <xf numFmtId="166" fontId="34" fillId="17" borderId="1" xfId="0" applyNumberFormat="1" applyFont="1" applyFill="1" applyBorder="1" applyAlignment="1">
      <alignment horizontal="right" vertical="center"/>
    </xf>
    <xf numFmtId="4" fontId="34" fillId="17" borderId="1" xfId="0" applyNumberFormat="1" applyFont="1" applyFill="1" applyBorder="1" applyAlignment="1">
      <alignment horizontal="right" vertical="center"/>
    </xf>
    <xf numFmtId="3" fontId="34" fillId="17" borderId="1" xfId="0" applyNumberFormat="1" applyFont="1" applyFill="1" applyBorder="1" applyAlignment="1">
      <alignment horizontal="right" vertical="center"/>
    </xf>
    <xf numFmtId="0" fontId="31" fillId="17" borderId="1" xfId="0" applyFont="1" applyFill="1" applyBorder="1" applyAlignment="1">
      <alignment horizontal="left" vertical="center"/>
    </xf>
    <xf numFmtId="49" fontId="30" fillId="18" borderId="1" xfId="0" applyNumberFormat="1" applyFont="1" applyFill="1" applyBorder="1" applyAlignment="1">
      <alignment horizontal="right" vertical="center"/>
    </xf>
    <xf numFmtId="166" fontId="34" fillId="18" borderId="1" xfId="0" applyNumberFormat="1" applyFont="1" applyFill="1" applyBorder="1" applyAlignment="1">
      <alignment horizontal="right" vertical="center"/>
    </xf>
    <xf numFmtId="4" fontId="34" fillId="18" borderId="1" xfId="0" applyNumberFormat="1" applyFont="1" applyFill="1" applyBorder="1" applyAlignment="1">
      <alignment horizontal="right" vertical="center"/>
    </xf>
    <xf numFmtId="3" fontId="34" fillId="18" borderId="1" xfId="0" applyNumberFormat="1" applyFont="1" applyFill="1" applyBorder="1" applyAlignment="1">
      <alignment horizontal="right" vertical="center"/>
    </xf>
    <xf numFmtId="0" fontId="31" fillId="18" borderId="1" xfId="0" applyFont="1" applyFill="1" applyBorder="1" applyAlignment="1">
      <alignment horizontal="left" vertical="center"/>
    </xf>
    <xf numFmtId="0" fontId="25" fillId="21" borderId="1" xfId="0" applyFont="1" applyFill="1" applyBorder="1" applyAlignment="1">
      <alignment horizontal="center" vertical="center"/>
    </xf>
    <xf numFmtId="0" fontId="26" fillId="5" borderId="0" xfId="0" applyFont="1" applyFill="1" applyBorder="1" applyAlignment="1">
      <alignment horizontal="left" vertical="center"/>
    </xf>
    <xf numFmtId="0" fontId="29" fillId="18" borderId="1" xfId="0" applyFont="1" applyFill="1" applyBorder="1" applyAlignment="1">
      <alignment horizontal="left" vertical="center"/>
    </xf>
    <xf numFmtId="3" fontId="25" fillId="18" borderId="1" xfId="0" applyNumberFormat="1" applyFont="1" applyFill="1" applyBorder="1" applyAlignment="1">
      <alignment horizontal="center" vertical="center"/>
    </xf>
    <xf numFmtId="0" fontId="23" fillId="18" borderId="1" xfId="0" applyFont="1" applyFill="1" applyBorder="1" applyAlignment="1">
      <alignment horizontal="left" vertical="center"/>
    </xf>
    <xf numFmtId="0" fontId="29" fillId="17" borderId="1" xfId="0" applyFont="1" applyFill="1" applyBorder="1" applyAlignment="1">
      <alignment horizontal="left" vertical="center"/>
    </xf>
    <xf numFmtId="167" fontId="25" fillId="17" borderId="1" xfId="0" applyNumberFormat="1" applyFont="1" applyFill="1" applyBorder="1" applyAlignment="1">
      <alignment horizontal="center" vertical="center"/>
    </xf>
    <xf numFmtId="0" fontId="23" fillId="17" borderId="1" xfId="0" applyFont="1" applyFill="1" applyBorder="1" applyAlignment="1">
      <alignment horizontal="left" vertical="center"/>
    </xf>
    <xf numFmtId="4" fontId="25" fillId="18" borderId="1" xfId="0" applyNumberFormat="1" applyFont="1" applyFill="1" applyBorder="1" applyAlignment="1">
      <alignment horizontal="center" vertical="center"/>
    </xf>
    <xf numFmtId="4" fontId="25" fillId="17" borderId="1" xfId="0" applyNumberFormat="1" applyFont="1" applyFill="1" applyBorder="1" applyAlignment="1">
      <alignment horizontal="center" vertical="center"/>
    </xf>
    <xf numFmtId="166" fontId="25" fillId="18" borderId="1" xfId="0" applyNumberFormat="1" applyFont="1" applyFill="1" applyBorder="1" applyAlignment="1">
      <alignment horizontal="center" vertical="center"/>
    </xf>
    <xf numFmtId="166" fontId="25" fillId="17" borderId="1" xfId="0" applyNumberFormat="1" applyFont="1" applyFill="1" applyBorder="1" applyAlignment="1">
      <alignment horizontal="center" vertical="center"/>
    </xf>
    <xf numFmtId="0" fontId="27" fillId="5" borderId="1" xfId="0" applyFont="1" applyFill="1" applyBorder="1" applyAlignment="1">
      <alignment horizontal="center" vertical="center"/>
    </xf>
    <xf numFmtId="0" fontId="35" fillId="0" borderId="0" xfId="0" applyFont="1" applyBorder="1" applyAlignment="1">
      <alignment horizontal="left"/>
    </xf>
    <xf numFmtId="0" fontId="36" fillId="20" borderId="0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7F7F7F"/>
      <rgbColor rgb="FF9999FF"/>
      <rgbColor rgb="FF993366"/>
      <rgbColor rgb="FFFFF2CC"/>
      <rgbColor rgb="FFDEEAF1"/>
      <rgbColor rgb="FF660066"/>
      <rgbColor rgb="FFFF8080"/>
      <rgbColor rgb="FF2E75B6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7FF"/>
      <rgbColor rgb="FFE2EFDA"/>
      <rgbColor rgb="FFEEF3F9"/>
      <rgbColor rgb="FFD6E4F7"/>
      <rgbColor rgb="FFFF99CC"/>
      <rgbColor rgb="FFCC99FF"/>
      <rgbColor rgb="FFFFE0E0"/>
      <rgbColor rgb="FF4472C4"/>
      <rgbColor rgb="FF33CCCC"/>
      <rgbColor rgb="FF99CC00"/>
      <rgbColor rgb="FFFFCC00"/>
      <rgbColor rgb="FFFF9900"/>
      <rgbColor rgb="FFC55A11"/>
      <rgbColor rgb="FF595959"/>
      <rgbColor rgb="FF969696"/>
      <rgbColor rgb="FF003366"/>
      <rgbColor rgb="FF339966"/>
      <rgbColor rgb="FF003300"/>
      <rgbColor rgb="FF375623"/>
      <rgbColor rgb="FF833C11"/>
      <rgbColor rgb="FF993366"/>
      <rgbColor rgb="FF1F4E7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24"/>
  <sheetViews>
    <sheetView tabSelected="1" workbookViewId="0">
      <pane ySplit="2" topLeftCell="A3" activePane="bottomLeft" state="frozen"/>
      <selection pane="bottomLeft" sqref="A1:N1"/>
    </sheetView>
  </sheetViews>
  <sheetFormatPr defaultColWidth="8.6640625" defaultRowHeight="14.4"/>
  <cols>
    <col min="1" max="1" width="11" customWidth="1"/>
    <col min="2" max="2" width="12" customWidth="1"/>
    <col min="3" max="3" width="8" customWidth="1"/>
    <col min="4" max="4" width="13" customWidth="1"/>
    <col min="5" max="14" width="16" customWidth="1"/>
  </cols>
  <sheetData>
    <row r="1" spans="1:14" ht="24" customHeight="1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spans="1:14" ht="18" customHeight="1">
      <c r="A2" s="15" t="s">
        <v>1</v>
      </c>
      <c r="B2" s="15" t="s">
        <v>2</v>
      </c>
      <c r="C2" s="15" t="s">
        <v>3</v>
      </c>
      <c r="D2" s="15" t="s">
        <v>4</v>
      </c>
      <c r="E2" s="15" t="s">
        <v>5</v>
      </c>
      <c r="F2" s="15" t="s">
        <v>6</v>
      </c>
      <c r="G2" s="15" t="s">
        <v>7</v>
      </c>
      <c r="H2" s="15" t="s">
        <v>8</v>
      </c>
      <c r="I2" s="15" t="s">
        <v>9</v>
      </c>
      <c r="J2" s="15" t="s">
        <v>10</v>
      </c>
      <c r="K2" s="15" t="s">
        <v>11</v>
      </c>
      <c r="L2" s="15" t="s">
        <v>12</v>
      </c>
      <c r="M2" s="15" t="s">
        <v>13</v>
      </c>
      <c r="N2" s="15" t="s">
        <v>14</v>
      </c>
    </row>
    <row r="3" spans="1:14">
      <c r="A3" s="16" t="s">
        <v>15</v>
      </c>
      <c r="B3" s="17">
        <v>45658</v>
      </c>
      <c r="C3" s="16" t="s">
        <v>16</v>
      </c>
      <c r="D3" s="16" t="s">
        <v>17</v>
      </c>
      <c r="E3" s="18">
        <v>70389.11</v>
      </c>
      <c r="F3" s="16">
        <v>8302</v>
      </c>
      <c r="G3" s="19">
        <v>4.2000000000000003E-2</v>
      </c>
      <c r="H3" s="16">
        <v>17</v>
      </c>
      <c r="I3" s="18">
        <v>75</v>
      </c>
      <c r="J3" s="18">
        <v>5.28</v>
      </c>
      <c r="K3" s="16">
        <v>1</v>
      </c>
      <c r="L3" s="18">
        <v>3.1</v>
      </c>
      <c r="M3" s="18">
        <v>658832.62</v>
      </c>
      <c r="N3" s="18">
        <v>84349.93</v>
      </c>
    </row>
    <row r="4" spans="1:14">
      <c r="A4" s="20" t="s">
        <v>15</v>
      </c>
      <c r="B4" s="21">
        <v>45689</v>
      </c>
      <c r="C4" s="20" t="s">
        <v>16</v>
      </c>
      <c r="D4" s="20" t="s">
        <v>17</v>
      </c>
      <c r="E4" s="22">
        <v>43827.89</v>
      </c>
      <c r="F4" s="20">
        <v>8487</v>
      </c>
      <c r="G4" s="23">
        <v>0.16800000000000001</v>
      </c>
      <c r="H4" s="20">
        <v>23</v>
      </c>
      <c r="I4" s="22">
        <v>84.4</v>
      </c>
      <c r="J4" s="22">
        <v>4.3099999999999996</v>
      </c>
      <c r="K4" s="20">
        <v>0</v>
      </c>
      <c r="L4" s="22">
        <v>2.8</v>
      </c>
      <c r="M4" s="22">
        <v>634436</v>
      </c>
      <c r="N4" s="22">
        <v>106130.54</v>
      </c>
    </row>
    <row r="5" spans="1:14">
      <c r="A5" s="16" t="s">
        <v>15</v>
      </c>
      <c r="B5" s="17">
        <v>45717</v>
      </c>
      <c r="C5" s="16" t="s">
        <v>16</v>
      </c>
      <c r="D5" s="16" t="s">
        <v>17</v>
      </c>
      <c r="E5" s="18">
        <v>59921.75</v>
      </c>
      <c r="F5" s="16">
        <v>9113</v>
      </c>
      <c r="G5" s="19">
        <v>0.13300000000000001</v>
      </c>
      <c r="H5" s="16">
        <v>20</v>
      </c>
      <c r="I5" s="18">
        <v>88</v>
      </c>
      <c r="J5" s="18">
        <v>12</v>
      </c>
      <c r="K5" s="16">
        <v>0</v>
      </c>
      <c r="L5" s="18">
        <v>3.2</v>
      </c>
      <c r="M5" s="18">
        <v>678722.06</v>
      </c>
      <c r="N5" s="18">
        <v>101883.86</v>
      </c>
    </row>
    <row r="6" spans="1:14">
      <c r="A6" s="20" t="s">
        <v>15</v>
      </c>
      <c r="B6" s="21">
        <v>45748</v>
      </c>
      <c r="C6" s="20" t="s">
        <v>16</v>
      </c>
      <c r="D6" s="20" t="s">
        <v>17</v>
      </c>
      <c r="E6" s="22">
        <v>56856.63</v>
      </c>
      <c r="F6" s="20">
        <v>9431</v>
      </c>
      <c r="G6" s="23">
        <v>0.14199999999999999</v>
      </c>
      <c r="H6" s="20">
        <v>23</v>
      </c>
      <c r="I6" s="22">
        <v>86.9</v>
      </c>
      <c r="J6" s="22">
        <v>4.97</v>
      </c>
      <c r="K6" s="20">
        <v>0</v>
      </c>
      <c r="L6" s="22">
        <v>3.4</v>
      </c>
      <c r="M6" s="22">
        <v>658920.30000000005</v>
      </c>
      <c r="N6" s="22">
        <v>97910.37</v>
      </c>
    </row>
    <row r="7" spans="1:14">
      <c r="A7" s="16" t="s">
        <v>18</v>
      </c>
      <c r="B7" s="17">
        <v>45658</v>
      </c>
      <c r="C7" s="16" t="s">
        <v>16</v>
      </c>
      <c r="D7" s="16" t="s">
        <v>19</v>
      </c>
      <c r="E7" s="18">
        <v>48412.639999999999</v>
      </c>
      <c r="F7" s="16">
        <v>9545</v>
      </c>
      <c r="G7" s="19">
        <v>0.23100000000000001</v>
      </c>
      <c r="H7" s="16">
        <v>21</v>
      </c>
      <c r="I7" s="18">
        <v>97.6</v>
      </c>
      <c r="J7" s="18">
        <v>6.94</v>
      </c>
      <c r="K7" s="16">
        <v>1</v>
      </c>
      <c r="L7" s="18">
        <v>4.2</v>
      </c>
      <c r="M7" s="18">
        <v>741341.44</v>
      </c>
      <c r="N7" s="18">
        <v>119208.17</v>
      </c>
    </row>
    <row r="8" spans="1:14">
      <c r="A8" s="20" t="s">
        <v>18</v>
      </c>
      <c r="B8" s="21">
        <v>45689</v>
      </c>
      <c r="C8" s="20" t="s">
        <v>16</v>
      </c>
      <c r="D8" s="20" t="s">
        <v>19</v>
      </c>
      <c r="E8" s="22">
        <v>64811.21</v>
      </c>
      <c r="F8" s="20">
        <v>9792</v>
      </c>
      <c r="G8" s="23">
        <v>0.112</v>
      </c>
      <c r="H8" s="20">
        <v>20</v>
      </c>
      <c r="I8" s="22">
        <v>84.2</v>
      </c>
      <c r="J8" s="22">
        <v>2.88</v>
      </c>
      <c r="K8" s="20">
        <v>0</v>
      </c>
      <c r="L8" s="22">
        <v>4.2</v>
      </c>
      <c r="M8" s="22">
        <v>761835.34</v>
      </c>
      <c r="N8" s="22">
        <v>149602.23000000001</v>
      </c>
    </row>
    <row r="9" spans="1:14">
      <c r="A9" s="16" t="s">
        <v>18</v>
      </c>
      <c r="B9" s="17">
        <v>45717</v>
      </c>
      <c r="C9" s="16" t="s">
        <v>16</v>
      </c>
      <c r="D9" s="16" t="s">
        <v>19</v>
      </c>
      <c r="E9" s="18">
        <v>46213.45</v>
      </c>
      <c r="F9" s="16">
        <v>10616</v>
      </c>
      <c r="G9" s="19">
        <v>0.122</v>
      </c>
      <c r="H9" s="16">
        <v>22</v>
      </c>
      <c r="I9" s="18">
        <v>85.2</v>
      </c>
      <c r="J9" s="18">
        <v>0.2</v>
      </c>
      <c r="K9" s="16">
        <v>1</v>
      </c>
      <c r="L9" s="18">
        <v>4.0999999999999996</v>
      </c>
      <c r="M9" s="18">
        <v>806615.54</v>
      </c>
      <c r="N9" s="18">
        <v>131364.62</v>
      </c>
    </row>
    <row r="10" spans="1:14">
      <c r="A10" s="20" t="s">
        <v>18</v>
      </c>
      <c r="B10" s="21">
        <v>45748</v>
      </c>
      <c r="C10" s="20" t="s">
        <v>16</v>
      </c>
      <c r="D10" s="20" t="s">
        <v>19</v>
      </c>
      <c r="E10" s="22">
        <v>68148.52</v>
      </c>
      <c r="F10" s="20">
        <v>8567</v>
      </c>
      <c r="G10" s="23">
        <v>0.127</v>
      </c>
      <c r="H10" s="20">
        <v>23</v>
      </c>
      <c r="I10" s="22">
        <v>95.6</v>
      </c>
      <c r="J10" s="22">
        <v>0.8</v>
      </c>
      <c r="K10" s="20">
        <v>0</v>
      </c>
      <c r="L10" s="22">
        <v>3.9</v>
      </c>
      <c r="M10" s="22">
        <v>850164.26</v>
      </c>
      <c r="N10" s="22">
        <v>149262.75</v>
      </c>
    </row>
    <row r="11" spans="1:14">
      <c r="A11" s="16" t="s">
        <v>20</v>
      </c>
      <c r="B11" s="17">
        <v>45658</v>
      </c>
      <c r="C11" s="16" t="s">
        <v>21</v>
      </c>
      <c r="D11" s="16" t="s">
        <v>22</v>
      </c>
      <c r="E11" s="18">
        <v>71838.86</v>
      </c>
      <c r="F11" s="16">
        <v>10979</v>
      </c>
      <c r="G11" s="19">
        <v>0.215</v>
      </c>
      <c r="H11" s="16">
        <v>26</v>
      </c>
      <c r="I11" s="18">
        <v>88.6</v>
      </c>
      <c r="J11" s="18">
        <v>7.7</v>
      </c>
      <c r="K11" s="16">
        <v>1</v>
      </c>
      <c r="L11" s="18">
        <v>3.8</v>
      </c>
      <c r="M11" s="18">
        <v>930581.7</v>
      </c>
      <c r="N11" s="18">
        <v>136207.98000000001</v>
      </c>
    </row>
    <row r="12" spans="1:14">
      <c r="A12" s="20" t="s">
        <v>20</v>
      </c>
      <c r="B12" s="21">
        <v>45689</v>
      </c>
      <c r="C12" s="20" t="s">
        <v>21</v>
      </c>
      <c r="D12" s="20" t="s">
        <v>22</v>
      </c>
      <c r="E12" s="22">
        <v>68133.440000000002</v>
      </c>
      <c r="F12" s="20">
        <v>9459</v>
      </c>
      <c r="G12" s="23">
        <v>0.22</v>
      </c>
      <c r="H12" s="20">
        <v>21</v>
      </c>
      <c r="I12" s="22">
        <v>85</v>
      </c>
      <c r="J12" s="22">
        <v>1.91</v>
      </c>
      <c r="K12" s="20">
        <v>0</v>
      </c>
      <c r="L12" s="22">
        <v>4.2</v>
      </c>
      <c r="M12" s="22">
        <v>779010.94</v>
      </c>
      <c r="N12" s="22">
        <v>106328.09</v>
      </c>
    </row>
    <row r="13" spans="1:14">
      <c r="A13" s="16" t="s">
        <v>20</v>
      </c>
      <c r="B13" s="17">
        <v>45717</v>
      </c>
      <c r="C13" s="16" t="s">
        <v>21</v>
      </c>
      <c r="D13" s="16" t="s">
        <v>22</v>
      </c>
      <c r="E13" s="18">
        <v>34285.21</v>
      </c>
      <c r="F13" s="16">
        <v>9172</v>
      </c>
      <c r="G13" s="19">
        <v>0.21299999999999999</v>
      </c>
      <c r="H13" s="16">
        <v>22</v>
      </c>
      <c r="I13" s="18">
        <v>88.3</v>
      </c>
      <c r="J13" s="18">
        <v>10.46</v>
      </c>
      <c r="K13" s="16">
        <v>1</v>
      </c>
      <c r="L13" s="18">
        <v>3.8</v>
      </c>
      <c r="M13" s="18">
        <v>723060.76</v>
      </c>
      <c r="N13" s="18">
        <v>123131.24</v>
      </c>
    </row>
    <row r="14" spans="1:14">
      <c r="A14" s="20" t="s">
        <v>20</v>
      </c>
      <c r="B14" s="21">
        <v>45748</v>
      </c>
      <c r="C14" s="20" t="s">
        <v>21</v>
      </c>
      <c r="D14" s="20" t="s">
        <v>22</v>
      </c>
      <c r="E14" s="22">
        <v>67979.88</v>
      </c>
      <c r="F14" s="20">
        <v>11230</v>
      </c>
      <c r="G14" s="23">
        <v>2E-3</v>
      </c>
      <c r="H14" s="20">
        <v>28</v>
      </c>
      <c r="I14" s="22">
        <v>85.3</v>
      </c>
      <c r="J14" s="22">
        <v>7.16</v>
      </c>
      <c r="K14" s="20">
        <v>0</v>
      </c>
      <c r="L14" s="22">
        <v>3.8</v>
      </c>
      <c r="M14" s="22">
        <v>910791.94</v>
      </c>
      <c r="N14" s="22">
        <v>158891.28</v>
      </c>
    </row>
    <row r="15" spans="1:14">
      <c r="A15" s="16" t="s">
        <v>23</v>
      </c>
      <c r="B15" s="17">
        <v>45658</v>
      </c>
      <c r="C15" s="16" t="s">
        <v>16</v>
      </c>
      <c r="D15" s="16" t="s">
        <v>17</v>
      </c>
      <c r="E15" s="18">
        <v>71828.259999999995</v>
      </c>
      <c r="F15" s="16">
        <v>12775</v>
      </c>
      <c r="G15" s="19">
        <v>0.11600000000000001</v>
      </c>
      <c r="H15" s="16">
        <v>30</v>
      </c>
      <c r="I15" s="18">
        <v>81.7</v>
      </c>
      <c r="J15" s="18">
        <v>4.24</v>
      </c>
      <c r="K15" s="16">
        <v>1</v>
      </c>
      <c r="L15" s="18">
        <v>4.2</v>
      </c>
      <c r="M15" s="18">
        <v>922168.6</v>
      </c>
      <c r="N15" s="18">
        <v>107494.53</v>
      </c>
    </row>
    <row r="16" spans="1:14">
      <c r="A16" s="20" t="s">
        <v>23</v>
      </c>
      <c r="B16" s="21">
        <v>45689</v>
      </c>
      <c r="C16" s="20" t="s">
        <v>16</v>
      </c>
      <c r="D16" s="20" t="s">
        <v>17</v>
      </c>
      <c r="E16" s="22">
        <v>55716.82</v>
      </c>
      <c r="F16" s="20">
        <v>10054</v>
      </c>
      <c r="G16" s="23">
        <v>0.14599999999999999</v>
      </c>
      <c r="H16" s="20">
        <v>24</v>
      </c>
      <c r="I16" s="22">
        <v>84.9</v>
      </c>
      <c r="J16" s="22">
        <v>1.06</v>
      </c>
      <c r="K16" s="20">
        <v>0</v>
      </c>
      <c r="L16" s="22">
        <v>4.3</v>
      </c>
      <c r="M16" s="22">
        <v>726606.28</v>
      </c>
      <c r="N16" s="22">
        <v>122729.29</v>
      </c>
    </row>
    <row r="17" spans="1:14">
      <c r="A17" s="16" t="s">
        <v>23</v>
      </c>
      <c r="B17" s="17">
        <v>45717</v>
      </c>
      <c r="C17" s="16" t="s">
        <v>16</v>
      </c>
      <c r="D17" s="16" t="s">
        <v>17</v>
      </c>
      <c r="E17" s="18">
        <v>59909.51</v>
      </c>
      <c r="F17" s="16">
        <v>8895</v>
      </c>
      <c r="G17" s="19">
        <v>0.22800000000000001</v>
      </c>
      <c r="H17" s="16">
        <v>23</v>
      </c>
      <c r="I17" s="18">
        <v>88.8</v>
      </c>
      <c r="J17" s="18">
        <v>0.27</v>
      </c>
      <c r="K17" s="16">
        <v>0</v>
      </c>
      <c r="L17" s="18">
        <v>4.3</v>
      </c>
      <c r="M17" s="18">
        <v>746501.09</v>
      </c>
      <c r="N17" s="18">
        <v>136816.72</v>
      </c>
    </row>
    <row r="18" spans="1:14">
      <c r="A18" s="20" t="s">
        <v>23</v>
      </c>
      <c r="B18" s="21">
        <v>45748</v>
      </c>
      <c r="C18" s="20" t="s">
        <v>16</v>
      </c>
      <c r="D18" s="20" t="s">
        <v>17</v>
      </c>
      <c r="E18" s="22">
        <v>75305.710000000006</v>
      </c>
      <c r="F18" s="20">
        <v>10940</v>
      </c>
      <c r="G18" s="23">
        <v>6.0000000000000001E-3</v>
      </c>
      <c r="H18" s="20">
        <v>26</v>
      </c>
      <c r="I18" s="22">
        <v>76.5</v>
      </c>
      <c r="J18" s="22">
        <v>1.32</v>
      </c>
      <c r="K18" s="20">
        <v>0</v>
      </c>
      <c r="L18" s="22">
        <v>4.5</v>
      </c>
      <c r="M18" s="22">
        <v>834017.02</v>
      </c>
      <c r="N18" s="22">
        <v>114745.03</v>
      </c>
    </row>
    <row r="19" spans="1:14">
      <c r="A19" s="16" t="s">
        <v>24</v>
      </c>
      <c r="B19" s="17">
        <v>45658</v>
      </c>
      <c r="C19" s="16" t="s">
        <v>25</v>
      </c>
      <c r="D19" s="16" t="s">
        <v>17</v>
      </c>
      <c r="E19" s="18">
        <v>48804.22</v>
      </c>
      <c r="F19" s="16">
        <v>7057</v>
      </c>
      <c r="G19" s="19">
        <v>5.0000000000000001E-3</v>
      </c>
      <c r="H19" s="16">
        <v>15</v>
      </c>
      <c r="I19" s="18">
        <v>87.7</v>
      </c>
      <c r="J19" s="18">
        <v>1.22</v>
      </c>
      <c r="K19" s="16">
        <v>0</v>
      </c>
      <c r="L19" s="18">
        <v>3.7</v>
      </c>
      <c r="M19" s="18">
        <v>666152.52</v>
      </c>
      <c r="N19" s="18">
        <v>107490.58</v>
      </c>
    </row>
    <row r="20" spans="1:14">
      <c r="A20" s="20" t="s">
        <v>24</v>
      </c>
      <c r="B20" s="21">
        <v>45689</v>
      </c>
      <c r="C20" s="20" t="s">
        <v>25</v>
      </c>
      <c r="D20" s="20" t="s">
        <v>17</v>
      </c>
      <c r="E20" s="22">
        <v>59117.9</v>
      </c>
      <c r="F20" s="20">
        <v>4263</v>
      </c>
      <c r="G20" s="23">
        <v>0.11899999999999999</v>
      </c>
      <c r="H20" s="20">
        <v>9</v>
      </c>
      <c r="I20" s="22">
        <v>87.6</v>
      </c>
      <c r="J20" s="22">
        <v>4.01</v>
      </c>
      <c r="K20" s="20">
        <v>0</v>
      </c>
      <c r="L20" s="22">
        <v>3.6</v>
      </c>
      <c r="M20" s="22">
        <v>573155.18999999994</v>
      </c>
      <c r="N20" s="22">
        <v>83680.75</v>
      </c>
    </row>
    <row r="21" spans="1:14">
      <c r="A21" s="16" t="s">
        <v>24</v>
      </c>
      <c r="B21" s="17">
        <v>45717</v>
      </c>
      <c r="C21" s="16" t="s">
        <v>25</v>
      </c>
      <c r="D21" s="16" t="s">
        <v>17</v>
      </c>
      <c r="E21" s="18">
        <v>78831.12</v>
      </c>
      <c r="F21" s="16">
        <v>5538</v>
      </c>
      <c r="G21" s="19">
        <v>0</v>
      </c>
      <c r="H21" s="16">
        <v>15</v>
      </c>
      <c r="I21" s="18">
        <v>94.1</v>
      </c>
      <c r="J21" s="18">
        <v>0.2</v>
      </c>
      <c r="K21" s="16">
        <v>0</v>
      </c>
      <c r="L21" s="18">
        <v>3.9</v>
      </c>
      <c r="M21" s="18">
        <v>666573.19999999995</v>
      </c>
      <c r="N21" s="18">
        <v>140641.01999999999</v>
      </c>
    </row>
    <row r="22" spans="1:14">
      <c r="A22" s="20" t="s">
        <v>24</v>
      </c>
      <c r="B22" s="21">
        <v>45748</v>
      </c>
      <c r="C22" s="20" t="s">
        <v>25</v>
      </c>
      <c r="D22" s="20" t="s">
        <v>17</v>
      </c>
      <c r="E22" s="22">
        <v>41441.93</v>
      </c>
      <c r="F22" s="20">
        <v>4865</v>
      </c>
      <c r="G22" s="23">
        <v>0.158</v>
      </c>
      <c r="H22" s="20">
        <v>16</v>
      </c>
      <c r="I22" s="22">
        <v>88.3</v>
      </c>
      <c r="J22" s="22">
        <v>0.5</v>
      </c>
      <c r="K22" s="20">
        <v>0</v>
      </c>
      <c r="L22" s="22">
        <v>4</v>
      </c>
      <c r="M22" s="22">
        <v>591619.94999999995</v>
      </c>
      <c r="N22" s="22">
        <v>99521.35</v>
      </c>
    </row>
    <row r="23" spans="1:14">
      <c r="A23" s="16" t="s">
        <v>26</v>
      </c>
      <c r="B23" s="17">
        <v>45658</v>
      </c>
      <c r="C23" s="16" t="s">
        <v>21</v>
      </c>
      <c r="D23" s="16" t="s">
        <v>17</v>
      </c>
      <c r="E23" s="18">
        <v>30356.28</v>
      </c>
      <c r="F23" s="16">
        <v>2822</v>
      </c>
      <c r="G23" s="19">
        <v>0.23100000000000001</v>
      </c>
      <c r="H23" s="16">
        <v>9</v>
      </c>
      <c r="I23" s="18">
        <v>84.8</v>
      </c>
      <c r="J23" s="18">
        <v>6.95</v>
      </c>
      <c r="K23" s="16">
        <v>0</v>
      </c>
      <c r="L23" s="18">
        <v>5</v>
      </c>
      <c r="M23" s="18">
        <v>415721.82</v>
      </c>
      <c r="N23" s="18">
        <v>61179.15</v>
      </c>
    </row>
    <row r="24" spans="1:14">
      <c r="A24" s="20" t="s">
        <v>26</v>
      </c>
      <c r="B24" s="21">
        <v>45689</v>
      </c>
      <c r="C24" s="20" t="s">
        <v>21</v>
      </c>
      <c r="D24" s="20" t="s">
        <v>17</v>
      </c>
      <c r="E24" s="22">
        <v>33518.879999999997</v>
      </c>
      <c r="F24" s="20">
        <v>2121</v>
      </c>
      <c r="G24" s="23">
        <v>0.17599999999999999</v>
      </c>
      <c r="H24" s="20">
        <v>8</v>
      </c>
      <c r="I24" s="22">
        <v>88.5</v>
      </c>
      <c r="J24" s="22">
        <v>0.2</v>
      </c>
      <c r="K24" s="20">
        <v>0</v>
      </c>
      <c r="L24" s="22">
        <v>5</v>
      </c>
      <c r="M24" s="22">
        <v>491905.13</v>
      </c>
      <c r="N24" s="22">
        <v>79212.259999999995</v>
      </c>
    </row>
    <row r="25" spans="1:14">
      <c r="A25" s="16" t="s">
        <v>26</v>
      </c>
      <c r="B25" s="17">
        <v>45717</v>
      </c>
      <c r="C25" s="16" t="s">
        <v>21</v>
      </c>
      <c r="D25" s="16" t="s">
        <v>17</v>
      </c>
      <c r="E25" s="18">
        <v>42267.37</v>
      </c>
      <c r="F25" s="16">
        <v>3364</v>
      </c>
      <c r="G25" s="19">
        <v>0.16</v>
      </c>
      <c r="H25" s="16">
        <v>13</v>
      </c>
      <c r="I25" s="18">
        <v>82</v>
      </c>
      <c r="J25" s="18">
        <v>1.61</v>
      </c>
      <c r="K25" s="16">
        <v>1</v>
      </c>
      <c r="L25" s="18">
        <v>4.5999999999999996</v>
      </c>
      <c r="M25" s="18">
        <v>555929.4</v>
      </c>
      <c r="N25" s="18">
        <v>115201.76</v>
      </c>
    </row>
    <row r="26" spans="1:14">
      <c r="A26" s="20" t="s">
        <v>26</v>
      </c>
      <c r="B26" s="21">
        <v>45748</v>
      </c>
      <c r="C26" s="20" t="s">
        <v>21</v>
      </c>
      <c r="D26" s="20" t="s">
        <v>17</v>
      </c>
      <c r="E26" s="22">
        <v>62060.43</v>
      </c>
      <c r="F26" s="20">
        <v>2613</v>
      </c>
      <c r="G26" s="23">
        <v>0.216</v>
      </c>
      <c r="H26" s="20">
        <v>12</v>
      </c>
      <c r="I26" s="22">
        <v>92.1</v>
      </c>
      <c r="J26" s="22">
        <v>1.55</v>
      </c>
      <c r="K26" s="20">
        <v>0</v>
      </c>
      <c r="L26" s="22">
        <v>4.7</v>
      </c>
      <c r="M26" s="22">
        <v>565810.99</v>
      </c>
      <c r="N26" s="22">
        <v>77825.460000000006</v>
      </c>
    </row>
    <row r="27" spans="1:14">
      <c r="A27" s="16" t="s">
        <v>27</v>
      </c>
      <c r="B27" s="17">
        <v>45658</v>
      </c>
      <c r="C27" s="16" t="s">
        <v>28</v>
      </c>
      <c r="D27" s="16" t="s">
        <v>29</v>
      </c>
      <c r="E27" s="18">
        <v>57696.69</v>
      </c>
      <c r="F27" s="16">
        <v>10218</v>
      </c>
      <c r="G27" s="19">
        <v>0.121</v>
      </c>
      <c r="H27" s="16">
        <v>25</v>
      </c>
      <c r="I27" s="18">
        <v>94.8</v>
      </c>
      <c r="J27" s="18">
        <v>2.99</v>
      </c>
      <c r="K27" s="16">
        <v>0</v>
      </c>
      <c r="L27" s="18">
        <v>3.5</v>
      </c>
      <c r="M27" s="18">
        <v>811771.14</v>
      </c>
      <c r="N27" s="18">
        <v>148756.24</v>
      </c>
    </row>
    <row r="28" spans="1:14">
      <c r="A28" s="20" t="s">
        <v>27</v>
      </c>
      <c r="B28" s="21">
        <v>45689</v>
      </c>
      <c r="C28" s="20" t="s">
        <v>28</v>
      </c>
      <c r="D28" s="20" t="s">
        <v>29</v>
      </c>
      <c r="E28" s="22">
        <v>172415.52</v>
      </c>
      <c r="F28" s="20">
        <v>8927</v>
      </c>
      <c r="G28" s="23">
        <v>0.14000000000000001</v>
      </c>
      <c r="H28" s="20">
        <v>22</v>
      </c>
      <c r="I28" s="22">
        <v>86.2</v>
      </c>
      <c r="J28" s="22">
        <v>7.04</v>
      </c>
      <c r="K28" s="20">
        <v>0</v>
      </c>
      <c r="L28" s="22">
        <v>3.9</v>
      </c>
      <c r="M28" s="22">
        <v>800451.94</v>
      </c>
      <c r="N28" s="22">
        <v>111572.29</v>
      </c>
    </row>
    <row r="29" spans="1:14">
      <c r="A29" s="16" t="s">
        <v>27</v>
      </c>
      <c r="B29" s="17">
        <v>45717</v>
      </c>
      <c r="C29" s="16" t="s">
        <v>28</v>
      </c>
      <c r="D29" s="16" t="s">
        <v>29</v>
      </c>
      <c r="E29" s="18">
        <v>55270.52</v>
      </c>
      <c r="F29" s="16">
        <v>9315</v>
      </c>
      <c r="G29" s="19">
        <v>0.16900000000000001</v>
      </c>
      <c r="H29" s="16">
        <v>23</v>
      </c>
      <c r="I29" s="18">
        <v>91.9</v>
      </c>
      <c r="J29" s="18">
        <v>4.9400000000000004</v>
      </c>
      <c r="K29" s="16">
        <v>0</v>
      </c>
      <c r="L29" s="18">
        <v>4</v>
      </c>
      <c r="M29" s="18">
        <v>783672.82</v>
      </c>
      <c r="N29" s="18">
        <v>112577.14</v>
      </c>
    </row>
    <row r="30" spans="1:14">
      <c r="A30" s="20" t="s">
        <v>27</v>
      </c>
      <c r="B30" s="21">
        <v>45748</v>
      </c>
      <c r="C30" s="20" t="s">
        <v>28</v>
      </c>
      <c r="D30" s="20" t="s">
        <v>29</v>
      </c>
      <c r="E30" s="22">
        <v>52715.1</v>
      </c>
      <c r="F30" s="20">
        <v>7223</v>
      </c>
      <c r="G30" s="23">
        <v>0.122</v>
      </c>
      <c r="H30" s="20">
        <v>16</v>
      </c>
      <c r="I30" s="22">
        <v>84.2</v>
      </c>
      <c r="J30" s="22">
        <v>16.149999999999999</v>
      </c>
      <c r="K30" s="20">
        <v>0</v>
      </c>
      <c r="L30" s="22">
        <v>3.7</v>
      </c>
      <c r="M30" s="22">
        <v>701641.97</v>
      </c>
      <c r="N30" s="22">
        <v>106111.86</v>
      </c>
    </row>
    <row r="31" spans="1:14">
      <c r="A31" s="16" t="s">
        <v>30</v>
      </c>
      <c r="B31" s="17">
        <v>45658</v>
      </c>
      <c r="C31" s="16" t="s">
        <v>16</v>
      </c>
      <c r="D31" s="16" t="s">
        <v>17</v>
      </c>
      <c r="E31" s="18">
        <v>68600.62</v>
      </c>
      <c r="F31" s="16">
        <v>3988</v>
      </c>
      <c r="G31" s="19">
        <v>0.124</v>
      </c>
      <c r="H31" s="16">
        <v>11</v>
      </c>
      <c r="I31" s="18">
        <v>85</v>
      </c>
      <c r="J31" s="18">
        <v>0.48</v>
      </c>
      <c r="K31" s="16">
        <v>0</v>
      </c>
      <c r="L31" s="18">
        <v>3.6</v>
      </c>
      <c r="M31" s="18">
        <v>511844.41</v>
      </c>
      <c r="N31" s="18">
        <v>72774.44</v>
      </c>
    </row>
    <row r="32" spans="1:14">
      <c r="A32" s="20" t="s">
        <v>30</v>
      </c>
      <c r="B32" s="21">
        <v>45689</v>
      </c>
      <c r="C32" s="20" t="s">
        <v>16</v>
      </c>
      <c r="D32" s="20" t="s">
        <v>17</v>
      </c>
      <c r="E32" s="22">
        <v>63176.73</v>
      </c>
      <c r="F32" s="20">
        <v>2390</v>
      </c>
      <c r="G32" s="23">
        <v>0.216</v>
      </c>
      <c r="H32" s="20">
        <v>9</v>
      </c>
      <c r="I32" s="22">
        <v>87.5</v>
      </c>
      <c r="J32" s="22">
        <v>0.31</v>
      </c>
      <c r="K32" s="20">
        <v>0</v>
      </c>
      <c r="L32" s="22">
        <v>3.1</v>
      </c>
      <c r="M32" s="22">
        <v>537383.79</v>
      </c>
      <c r="N32" s="22">
        <v>63773.27</v>
      </c>
    </row>
    <row r="33" spans="1:14">
      <c r="A33" s="16" t="s">
        <v>30</v>
      </c>
      <c r="B33" s="17">
        <v>45717</v>
      </c>
      <c r="C33" s="16" t="s">
        <v>16</v>
      </c>
      <c r="D33" s="16" t="s">
        <v>17</v>
      </c>
      <c r="E33" s="18">
        <v>44970.080000000002</v>
      </c>
      <c r="F33" s="16">
        <v>2471</v>
      </c>
      <c r="G33" s="19">
        <v>0.13600000000000001</v>
      </c>
      <c r="H33" s="16">
        <v>11</v>
      </c>
      <c r="I33" s="18">
        <v>87.6</v>
      </c>
      <c r="J33" s="18">
        <v>3.01</v>
      </c>
      <c r="K33" s="16">
        <v>1</v>
      </c>
      <c r="L33" s="18">
        <v>3.7</v>
      </c>
      <c r="M33" s="18">
        <v>500173.02</v>
      </c>
      <c r="N33" s="18">
        <v>70982.05</v>
      </c>
    </row>
    <row r="34" spans="1:14">
      <c r="A34" s="20" t="s">
        <v>30</v>
      </c>
      <c r="B34" s="21">
        <v>45748</v>
      </c>
      <c r="C34" s="20" t="s">
        <v>16</v>
      </c>
      <c r="D34" s="20" t="s">
        <v>17</v>
      </c>
      <c r="E34" s="22">
        <v>69816.350000000006</v>
      </c>
      <c r="F34" s="20">
        <v>971</v>
      </c>
      <c r="G34" s="23">
        <v>0.16800000000000001</v>
      </c>
      <c r="H34" s="20">
        <v>5</v>
      </c>
      <c r="I34" s="22">
        <v>89.9</v>
      </c>
      <c r="J34" s="22">
        <v>12.15</v>
      </c>
      <c r="K34" s="20">
        <v>0</v>
      </c>
      <c r="L34" s="22">
        <v>3.6</v>
      </c>
      <c r="M34" s="22">
        <v>427917.38</v>
      </c>
      <c r="N34" s="22">
        <v>81824.31</v>
      </c>
    </row>
    <row r="35" spans="1:14">
      <c r="A35" s="16" t="s">
        <v>31</v>
      </c>
      <c r="B35" s="17">
        <v>45658</v>
      </c>
      <c r="C35" s="16" t="s">
        <v>21</v>
      </c>
      <c r="D35" s="16" t="s">
        <v>17</v>
      </c>
      <c r="E35" s="18">
        <v>54597.83</v>
      </c>
      <c r="F35" s="16">
        <v>9429</v>
      </c>
      <c r="G35" s="19">
        <v>0.188</v>
      </c>
      <c r="H35" s="16">
        <v>21</v>
      </c>
      <c r="I35" s="18">
        <v>83.3</v>
      </c>
      <c r="J35" s="18">
        <v>11.71</v>
      </c>
      <c r="K35" s="16">
        <v>0</v>
      </c>
      <c r="L35" s="18">
        <v>4.2</v>
      </c>
      <c r="M35" s="18">
        <v>641865.03</v>
      </c>
      <c r="N35" s="18">
        <v>81342.58</v>
      </c>
    </row>
    <row r="36" spans="1:14">
      <c r="A36" s="20" t="s">
        <v>31</v>
      </c>
      <c r="B36" s="21">
        <v>45689</v>
      </c>
      <c r="C36" s="20" t="s">
        <v>21</v>
      </c>
      <c r="D36" s="20" t="s">
        <v>17</v>
      </c>
      <c r="E36" s="22">
        <v>73771.91</v>
      </c>
      <c r="F36" s="20">
        <v>11695</v>
      </c>
      <c r="G36" s="23">
        <v>7.0000000000000007E-2</v>
      </c>
      <c r="H36" s="20">
        <v>25</v>
      </c>
      <c r="I36" s="22">
        <v>84.7</v>
      </c>
      <c r="J36" s="22">
        <v>0.62</v>
      </c>
      <c r="K36" s="20">
        <v>0</v>
      </c>
      <c r="L36" s="24"/>
      <c r="M36" s="22">
        <v>799477.76000000001</v>
      </c>
      <c r="N36" s="22">
        <v>164974.41</v>
      </c>
    </row>
    <row r="37" spans="1:14">
      <c r="A37" s="16" t="s">
        <v>31</v>
      </c>
      <c r="B37" s="17">
        <v>45717</v>
      </c>
      <c r="C37" s="16" t="s">
        <v>21</v>
      </c>
      <c r="D37" s="16" t="s">
        <v>17</v>
      </c>
      <c r="E37" s="18">
        <v>74413.88</v>
      </c>
      <c r="F37" s="16">
        <v>9449</v>
      </c>
      <c r="G37" s="19">
        <v>3.9E-2</v>
      </c>
      <c r="H37" s="16">
        <v>23</v>
      </c>
      <c r="I37" s="18">
        <v>92.1</v>
      </c>
      <c r="J37" s="18">
        <v>2.12</v>
      </c>
      <c r="K37" s="16">
        <v>0</v>
      </c>
      <c r="L37" s="18">
        <v>3.5</v>
      </c>
      <c r="M37" s="18">
        <v>798952.17</v>
      </c>
      <c r="N37" s="18">
        <v>161499.04</v>
      </c>
    </row>
    <row r="38" spans="1:14">
      <c r="A38" s="20" t="s">
        <v>31</v>
      </c>
      <c r="B38" s="21">
        <v>45748</v>
      </c>
      <c r="C38" s="20" t="s">
        <v>21</v>
      </c>
      <c r="D38" s="20" t="s">
        <v>17</v>
      </c>
      <c r="E38" s="22">
        <v>52483.77</v>
      </c>
      <c r="F38" s="20">
        <v>10453</v>
      </c>
      <c r="G38" s="23">
        <v>0.247</v>
      </c>
      <c r="H38" s="20">
        <v>25</v>
      </c>
      <c r="I38" s="22">
        <v>99</v>
      </c>
      <c r="J38" s="22">
        <v>6.31</v>
      </c>
      <c r="K38" s="20">
        <v>0</v>
      </c>
      <c r="L38" s="22">
        <v>3.6</v>
      </c>
      <c r="M38" s="22">
        <v>800979.78</v>
      </c>
      <c r="N38" s="22">
        <v>149242.26999999999</v>
      </c>
    </row>
    <row r="39" spans="1:14">
      <c r="A39" s="16" t="s">
        <v>32</v>
      </c>
      <c r="B39" s="17">
        <v>45658</v>
      </c>
      <c r="C39" s="16" t="s">
        <v>21</v>
      </c>
      <c r="D39" s="16" t="s">
        <v>29</v>
      </c>
      <c r="E39" s="18">
        <v>75269.87</v>
      </c>
      <c r="F39" s="16">
        <v>8838</v>
      </c>
      <c r="G39" s="19">
        <v>9.1999999999999998E-2</v>
      </c>
      <c r="H39" s="16">
        <v>21</v>
      </c>
      <c r="I39" s="18">
        <v>83.1</v>
      </c>
      <c r="J39" s="18">
        <v>9.56</v>
      </c>
      <c r="K39" s="16">
        <v>1</v>
      </c>
      <c r="L39" s="18">
        <v>4.2</v>
      </c>
      <c r="M39" s="18">
        <v>820593.93</v>
      </c>
      <c r="N39" s="18">
        <v>115860.06</v>
      </c>
    </row>
    <row r="40" spans="1:14">
      <c r="A40" s="20" t="s">
        <v>32</v>
      </c>
      <c r="B40" s="21">
        <v>45689</v>
      </c>
      <c r="C40" s="20" t="s">
        <v>21</v>
      </c>
      <c r="D40" s="20" t="s">
        <v>29</v>
      </c>
      <c r="E40" s="22">
        <v>61245.41</v>
      </c>
      <c r="F40" s="20">
        <v>8156</v>
      </c>
      <c r="G40" s="23">
        <v>0.156</v>
      </c>
      <c r="H40" s="20">
        <v>19</v>
      </c>
      <c r="I40" s="22">
        <v>92.9</v>
      </c>
      <c r="J40" s="22">
        <v>9.0500000000000007</v>
      </c>
      <c r="K40" s="20">
        <v>0</v>
      </c>
      <c r="L40" s="22">
        <v>3.8</v>
      </c>
      <c r="M40" s="22">
        <v>718330.53</v>
      </c>
      <c r="N40" s="22">
        <v>93247.9</v>
      </c>
    </row>
    <row r="41" spans="1:14">
      <c r="A41" s="16" t="s">
        <v>32</v>
      </c>
      <c r="B41" s="17">
        <v>45717</v>
      </c>
      <c r="C41" s="16" t="s">
        <v>21</v>
      </c>
      <c r="D41" s="16" t="s">
        <v>29</v>
      </c>
      <c r="E41" s="18">
        <v>93381.26</v>
      </c>
      <c r="F41" s="16">
        <v>7562</v>
      </c>
      <c r="G41" s="19">
        <v>0.19800000000000001</v>
      </c>
      <c r="H41" s="16">
        <v>19</v>
      </c>
      <c r="I41" s="18">
        <v>82.9</v>
      </c>
      <c r="J41" s="18">
        <v>5.05</v>
      </c>
      <c r="K41" s="16">
        <v>0</v>
      </c>
      <c r="L41" s="18">
        <v>4</v>
      </c>
      <c r="M41" s="18">
        <v>736633.4</v>
      </c>
      <c r="N41" s="18">
        <v>115654.66</v>
      </c>
    </row>
    <row r="42" spans="1:14">
      <c r="A42" s="20" t="s">
        <v>32</v>
      </c>
      <c r="B42" s="21">
        <v>45748</v>
      </c>
      <c r="C42" s="20" t="s">
        <v>21</v>
      </c>
      <c r="D42" s="20" t="s">
        <v>29</v>
      </c>
      <c r="E42" s="22">
        <v>65012.19</v>
      </c>
      <c r="F42" s="20">
        <v>9598</v>
      </c>
      <c r="G42" s="23">
        <v>8.5000000000000006E-2</v>
      </c>
      <c r="H42" s="20">
        <v>24</v>
      </c>
      <c r="I42" s="22">
        <v>98.3</v>
      </c>
      <c r="J42" s="22">
        <v>0.89</v>
      </c>
      <c r="K42" s="20">
        <v>0</v>
      </c>
      <c r="L42" s="22">
        <v>3.8</v>
      </c>
      <c r="M42" s="22">
        <v>828623.85</v>
      </c>
      <c r="N42" s="22">
        <v>167320.51999999999</v>
      </c>
    </row>
    <row r="43" spans="1:14">
      <c r="A43" s="16" t="s">
        <v>33</v>
      </c>
      <c r="B43" s="17">
        <v>45658</v>
      </c>
      <c r="C43" s="16" t="s">
        <v>16</v>
      </c>
      <c r="D43" s="16" t="s">
        <v>29</v>
      </c>
      <c r="E43" s="18">
        <v>40462.94</v>
      </c>
      <c r="F43" s="16">
        <v>3660</v>
      </c>
      <c r="G43" s="19">
        <v>0.218</v>
      </c>
      <c r="H43" s="16">
        <v>11</v>
      </c>
      <c r="I43" s="18">
        <v>95.2</v>
      </c>
      <c r="J43" s="18">
        <v>5.57</v>
      </c>
      <c r="K43" s="16">
        <v>0</v>
      </c>
      <c r="L43" s="18">
        <v>4.4000000000000004</v>
      </c>
      <c r="M43" s="18">
        <v>592195.85</v>
      </c>
      <c r="N43" s="18">
        <v>92291.56</v>
      </c>
    </row>
    <row r="44" spans="1:14">
      <c r="A44" s="20" t="s">
        <v>33</v>
      </c>
      <c r="B44" s="21">
        <v>45689</v>
      </c>
      <c r="C44" s="20" t="s">
        <v>16</v>
      </c>
      <c r="D44" s="20" t="s">
        <v>29</v>
      </c>
      <c r="E44" s="22">
        <v>46123.88</v>
      </c>
      <c r="F44" s="20">
        <v>3227</v>
      </c>
      <c r="G44" s="23">
        <v>0.14299999999999999</v>
      </c>
      <c r="H44" s="20">
        <v>10</v>
      </c>
      <c r="I44" s="22">
        <v>75.400000000000006</v>
      </c>
      <c r="J44" s="22">
        <v>1.06</v>
      </c>
      <c r="K44" s="20">
        <v>0</v>
      </c>
      <c r="L44" s="22">
        <v>4.4000000000000004</v>
      </c>
      <c r="M44" s="22">
        <v>532644.46</v>
      </c>
      <c r="N44" s="22">
        <v>60681.32</v>
      </c>
    </row>
    <row r="45" spans="1:14">
      <c r="A45" s="16" t="s">
        <v>33</v>
      </c>
      <c r="B45" s="17">
        <v>45717</v>
      </c>
      <c r="C45" s="16" t="s">
        <v>16</v>
      </c>
      <c r="D45" s="16" t="s">
        <v>29</v>
      </c>
      <c r="E45" s="18">
        <v>68077.539999999994</v>
      </c>
      <c r="F45" s="16">
        <v>3360</v>
      </c>
      <c r="G45" s="19">
        <v>0.128</v>
      </c>
      <c r="H45" s="16">
        <v>14</v>
      </c>
      <c r="I45" s="18">
        <v>88.2</v>
      </c>
      <c r="J45" s="18">
        <v>1.24</v>
      </c>
      <c r="K45" s="16">
        <v>1</v>
      </c>
      <c r="L45" s="18">
        <v>4</v>
      </c>
      <c r="M45" s="18">
        <v>657429.18000000005</v>
      </c>
      <c r="N45" s="18">
        <v>88919.74</v>
      </c>
    </row>
    <row r="46" spans="1:14">
      <c r="A46" s="20" t="s">
        <v>33</v>
      </c>
      <c r="B46" s="21">
        <v>45748</v>
      </c>
      <c r="C46" s="20" t="s">
        <v>16</v>
      </c>
      <c r="D46" s="20" t="s">
        <v>29</v>
      </c>
      <c r="E46" s="22">
        <v>64882.14</v>
      </c>
      <c r="F46" s="20">
        <v>3642</v>
      </c>
      <c r="G46" s="23">
        <v>1.9E-2</v>
      </c>
      <c r="H46" s="20">
        <v>13</v>
      </c>
      <c r="I46" s="22">
        <v>87.8</v>
      </c>
      <c r="J46" s="22">
        <v>4.5199999999999996</v>
      </c>
      <c r="K46" s="20">
        <v>0</v>
      </c>
      <c r="L46" s="22">
        <v>4.2</v>
      </c>
      <c r="M46" s="22">
        <v>605178</v>
      </c>
      <c r="N46" s="22">
        <v>106958.74</v>
      </c>
    </row>
    <row r="47" spans="1:14">
      <c r="A47" s="16" t="s">
        <v>34</v>
      </c>
      <c r="B47" s="17">
        <v>45658</v>
      </c>
      <c r="C47" s="16" t="s">
        <v>28</v>
      </c>
      <c r="D47" s="16" t="s">
        <v>17</v>
      </c>
      <c r="E47" s="18">
        <v>138855.51</v>
      </c>
      <c r="F47" s="16">
        <v>5145</v>
      </c>
      <c r="G47" s="19">
        <v>0.06</v>
      </c>
      <c r="H47" s="16">
        <v>17</v>
      </c>
      <c r="I47" s="18">
        <v>88.2</v>
      </c>
      <c r="J47" s="18">
        <v>9.58</v>
      </c>
      <c r="K47" s="16">
        <v>0</v>
      </c>
      <c r="L47" s="18">
        <v>3.2</v>
      </c>
      <c r="M47" s="18">
        <v>595467.6</v>
      </c>
      <c r="N47" s="18">
        <v>104276.46</v>
      </c>
    </row>
    <row r="48" spans="1:14">
      <c r="A48" s="20" t="s">
        <v>34</v>
      </c>
      <c r="B48" s="21">
        <v>45689</v>
      </c>
      <c r="C48" s="20" t="s">
        <v>28</v>
      </c>
      <c r="D48" s="20" t="s">
        <v>17</v>
      </c>
      <c r="E48" s="22">
        <v>63630.21</v>
      </c>
      <c r="F48" s="20">
        <v>4460</v>
      </c>
      <c r="G48" s="23">
        <v>0.23499999999999999</v>
      </c>
      <c r="H48" s="20">
        <v>14</v>
      </c>
      <c r="I48" s="22">
        <v>98.6</v>
      </c>
      <c r="J48" s="22">
        <v>5.52</v>
      </c>
      <c r="K48" s="20">
        <v>0</v>
      </c>
      <c r="L48" s="22">
        <v>3.5</v>
      </c>
      <c r="M48" s="22">
        <v>599603.4</v>
      </c>
      <c r="N48" s="22">
        <v>112685.12</v>
      </c>
    </row>
    <row r="49" spans="1:14">
      <c r="A49" s="16" t="s">
        <v>34</v>
      </c>
      <c r="B49" s="17">
        <v>45717</v>
      </c>
      <c r="C49" s="16" t="s">
        <v>28</v>
      </c>
      <c r="D49" s="16" t="s">
        <v>17</v>
      </c>
      <c r="E49" s="18">
        <v>50043.65</v>
      </c>
      <c r="F49" s="16">
        <v>3804</v>
      </c>
      <c r="G49" s="19">
        <v>0.113</v>
      </c>
      <c r="H49" s="16">
        <v>11</v>
      </c>
      <c r="I49" s="18">
        <v>90.9</v>
      </c>
      <c r="J49" s="18">
        <v>2.7</v>
      </c>
      <c r="K49" s="16">
        <v>1</v>
      </c>
      <c r="L49" s="18">
        <v>3.2</v>
      </c>
      <c r="M49" s="18">
        <v>614800.09</v>
      </c>
      <c r="N49" s="18">
        <v>100044.2</v>
      </c>
    </row>
    <row r="50" spans="1:14">
      <c r="A50" s="20" t="s">
        <v>34</v>
      </c>
      <c r="B50" s="21">
        <v>45748</v>
      </c>
      <c r="C50" s="20" t="s">
        <v>28</v>
      </c>
      <c r="D50" s="20" t="s">
        <v>17</v>
      </c>
      <c r="E50" s="22">
        <v>42093.84</v>
      </c>
      <c r="F50" s="20">
        <v>4074</v>
      </c>
      <c r="G50" s="23">
        <v>0.155</v>
      </c>
      <c r="H50" s="20">
        <v>15</v>
      </c>
      <c r="I50" s="22">
        <v>88</v>
      </c>
      <c r="J50" s="22">
        <v>9.64</v>
      </c>
      <c r="K50" s="20">
        <v>0</v>
      </c>
      <c r="L50" s="22">
        <v>3.3</v>
      </c>
      <c r="M50" s="22">
        <v>585365.73</v>
      </c>
      <c r="N50" s="22">
        <v>81011.520000000004</v>
      </c>
    </row>
    <row r="51" spans="1:14">
      <c r="A51" s="16" t="s">
        <v>35</v>
      </c>
      <c r="B51" s="17">
        <v>45658</v>
      </c>
      <c r="C51" s="16" t="s">
        <v>21</v>
      </c>
      <c r="D51" s="16" t="s">
        <v>29</v>
      </c>
      <c r="E51" s="18">
        <v>46624.05</v>
      </c>
      <c r="F51" s="16">
        <v>5104</v>
      </c>
      <c r="G51" s="19">
        <v>0.109</v>
      </c>
      <c r="H51" s="16">
        <v>11</v>
      </c>
      <c r="I51" s="18">
        <v>97.3</v>
      </c>
      <c r="J51" s="18">
        <v>3.49</v>
      </c>
      <c r="K51" s="16">
        <v>1</v>
      </c>
      <c r="L51" s="18">
        <v>4.7</v>
      </c>
      <c r="M51" s="18">
        <v>622811.74</v>
      </c>
      <c r="N51" s="18">
        <v>109978.35</v>
      </c>
    </row>
    <row r="52" spans="1:14">
      <c r="A52" s="20" t="s">
        <v>35</v>
      </c>
      <c r="B52" s="21">
        <v>45689</v>
      </c>
      <c r="C52" s="20" t="s">
        <v>21</v>
      </c>
      <c r="D52" s="20" t="s">
        <v>29</v>
      </c>
      <c r="E52" s="22">
        <v>49710.29</v>
      </c>
      <c r="F52" s="20">
        <v>5559</v>
      </c>
      <c r="G52" s="23">
        <v>0.218</v>
      </c>
      <c r="H52" s="20">
        <v>14</v>
      </c>
      <c r="I52" s="22">
        <v>71</v>
      </c>
      <c r="J52" s="22">
        <v>9.11</v>
      </c>
      <c r="K52" s="20">
        <v>0</v>
      </c>
      <c r="L52" s="22">
        <v>4.5999999999999996</v>
      </c>
      <c r="M52" s="22">
        <v>603297.56999999995</v>
      </c>
      <c r="N52" s="22">
        <v>60592.26</v>
      </c>
    </row>
    <row r="53" spans="1:14">
      <c r="A53" s="16" t="s">
        <v>35</v>
      </c>
      <c r="B53" s="17">
        <v>45717</v>
      </c>
      <c r="C53" s="16" t="s">
        <v>21</v>
      </c>
      <c r="D53" s="16" t="s">
        <v>29</v>
      </c>
      <c r="E53" s="18">
        <v>48287.85</v>
      </c>
      <c r="F53" s="16">
        <v>5150</v>
      </c>
      <c r="G53" s="19">
        <v>8.0000000000000002E-3</v>
      </c>
      <c r="H53" s="16">
        <v>12</v>
      </c>
      <c r="I53" s="18">
        <v>80.400000000000006</v>
      </c>
      <c r="J53" s="18">
        <v>7.4</v>
      </c>
      <c r="K53" s="16">
        <v>0</v>
      </c>
      <c r="L53" s="18">
        <v>4.5</v>
      </c>
      <c r="M53" s="18">
        <v>625672.86</v>
      </c>
      <c r="N53" s="18">
        <v>118020.12</v>
      </c>
    </row>
    <row r="54" spans="1:14">
      <c r="A54" s="20" t="s">
        <v>35</v>
      </c>
      <c r="B54" s="21">
        <v>45748</v>
      </c>
      <c r="C54" s="20" t="s">
        <v>21</v>
      </c>
      <c r="D54" s="20" t="s">
        <v>29</v>
      </c>
      <c r="E54" s="22">
        <v>65312.49</v>
      </c>
      <c r="F54" s="20">
        <v>7189</v>
      </c>
      <c r="G54" s="23">
        <v>0.05</v>
      </c>
      <c r="H54" s="20">
        <v>19</v>
      </c>
      <c r="I54" s="22">
        <v>93.7</v>
      </c>
      <c r="J54" s="22">
        <v>7.16</v>
      </c>
      <c r="K54" s="20">
        <v>0</v>
      </c>
      <c r="L54" s="22">
        <v>4.5999999999999996</v>
      </c>
      <c r="M54" s="22">
        <v>773815.14</v>
      </c>
      <c r="N54" s="22">
        <v>133948.39000000001</v>
      </c>
    </row>
    <row r="55" spans="1:14">
      <c r="A55" s="16" t="s">
        <v>36</v>
      </c>
      <c r="B55" s="17">
        <v>45658</v>
      </c>
      <c r="C55" s="16" t="s">
        <v>28</v>
      </c>
      <c r="D55" s="16" t="s">
        <v>19</v>
      </c>
      <c r="E55" s="18">
        <v>53015.46</v>
      </c>
      <c r="F55" s="16">
        <v>3279</v>
      </c>
      <c r="G55" s="19">
        <v>8.6999999999999994E-2</v>
      </c>
      <c r="H55" s="16">
        <v>9</v>
      </c>
      <c r="I55" s="18">
        <v>84.3</v>
      </c>
      <c r="J55" s="18">
        <v>22.02</v>
      </c>
      <c r="K55" s="16">
        <v>0</v>
      </c>
      <c r="L55" s="18">
        <v>3.9</v>
      </c>
      <c r="M55" s="18">
        <v>463534.25</v>
      </c>
      <c r="N55" s="18">
        <v>81834.539999999994</v>
      </c>
    </row>
    <row r="56" spans="1:14">
      <c r="A56" s="20" t="s">
        <v>36</v>
      </c>
      <c r="B56" s="21">
        <v>45689</v>
      </c>
      <c r="C56" s="20" t="s">
        <v>28</v>
      </c>
      <c r="D56" s="20" t="s">
        <v>19</v>
      </c>
      <c r="E56" s="22">
        <v>99874.01</v>
      </c>
      <c r="F56" s="20">
        <v>5887</v>
      </c>
      <c r="G56" s="23">
        <v>0.26200000000000001</v>
      </c>
      <c r="H56" s="20">
        <v>14</v>
      </c>
      <c r="I56" s="22">
        <v>88.7</v>
      </c>
      <c r="J56" s="22">
        <v>6.18</v>
      </c>
      <c r="K56" s="20">
        <v>0</v>
      </c>
      <c r="L56" s="22">
        <v>4.7</v>
      </c>
      <c r="M56" s="22">
        <v>746677.75</v>
      </c>
      <c r="N56" s="22">
        <v>122437.84</v>
      </c>
    </row>
    <row r="57" spans="1:14">
      <c r="A57" s="16" t="s">
        <v>36</v>
      </c>
      <c r="B57" s="17">
        <v>45717</v>
      </c>
      <c r="C57" s="16" t="s">
        <v>28</v>
      </c>
      <c r="D57" s="16" t="s">
        <v>19</v>
      </c>
      <c r="E57" s="18">
        <v>81195.5</v>
      </c>
      <c r="F57" s="16">
        <v>5516</v>
      </c>
      <c r="G57" s="19">
        <v>0.106</v>
      </c>
      <c r="H57" s="16">
        <v>14</v>
      </c>
      <c r="I57" s="18">
        <v>88</v>
      </c>
      <c r="J57" s="18">
        <v>1.76</v>
      </c>
      <c r="K57" s="16">
        <v>0</v>
      </c>
      <c r="L57" s="18">
        <v>4.3</v>
      </c>
      <c r="M57" s="18">
        <v>720852.5</v>
      </c>
      <c r="N57" s="18">
        <v>98565.62</v>
      </c>
    </row>
    <row r="58" spans="1:14">
      <c r="A58" s="20" t="s">
        <v>36</v>
      </c>
      <c r="B58" s="21">
        <v>45748</v>
      </c>
      <c r="C58" s="20" t="s">
        <v>28</v>
      </c>
      <c r="D58" s="20" t="s">
        <v>19</v>
      </c>
      <c r="E58" s="22">
        <v>27808.6</v>
      </c>
      <c r="F58" s="20">
        <v>2863</v>
      </c>
      <c r="G58" s="23">
        <v>0.08</v>
      </c>
      <c r="H58" s="20">
        <v>13</v>
      </c>
      <c r="I58" s="22">
        <v>89.3</v>
      </c>
      <c r="J58" s="22">
        <v>0.47</v>
      </c>
      <c r="K58" s="20">
        <v>0</v>
      </c>
      <c r="L58" s="22">
        <v>4.0999999999999996</v>
      </c>
      <c r="M58" s="22">
        <v>487464.91</v>
      </c>
      <c r="N58" s="22">
        <v>64562.26</v>
      </c>
    </row>
    <row r="59" spans="1:14">
      <c r="A59" s="16" t="s">
        <v>37</v>
      </c>
      <c r="B59" s="17">
        <v>45658</v>
      </c>
      <c r="C59" s="16" t="s">
        <v>16</v>
      </c>
      <c r="D59" s="16" t="s">
        <v>22</v>
      </c>
      <c r="E59" s="18">
        <v>19365.060000000001</v>
      </c>
      <c r="F59" s="16">
        <v>2378</v>
      </c>
      <c r="G59" s="19">
        <v>0</v>
      </c>
      <c r="H59" s="16">
        <v>12</v>
      </c>
      <c r="I59" s="18">
        <v>94.8</v>
      </c>
      <c r="J59" s="18">
        <v>0.2</v>
      </c>
      <c r="K59" s="16">
        <v>0</v>
      </c>
      <c r="L59" s="18">
        <v>3.5</v>
      </c>
      <c r="M59" s="18">
        <v>518049.26</v>
      </c>
      <c r="N59" s="18">
        <v>108592.49</v>
      </c>
    </row>
    <row r="60" spans="1:14">
      <c r="A60" s="20" t="s">
        <v>37</v>
      </c>
      <c r="B60" s="21">
        <v>45689</v>
      </c>
      <c r="C60" s="20" t="s">
        <v>16</v>
      </c>
      <c r="D60" s="20" t="s">
        <v>22</v>
      </c>
      <c r="E60" s="22">
        <v>59405.68</v>
      </c>
      <c r="F60" s="20">
        <v>2515</v>
      </c>
      <c r="G60" s="23">
        <v>3.9E-2</v>
      </c>
      <c r="H60" s="20">
        <v>12</v>
      </c>
      <c r="I60" s="22">
        <v>76</v>
      </c>
      <c r="J60" s="22">
        <v>5.1100000000000003</v>
      </c>
      <c r="K60" s="20">
        <v>0</v>
      </c>
      <c r="L60" s="22">
        <v>3.7</v>
      </c>
      <c r="M60" s="22">
        <v>500298.48</v>
      </c>
      <c r="N60" s="22">
        <v>73461.320000000007</v>
      </c>
    </row>
    <row r="61" spans="1:14">
      <c r="A61" s="16" t="s">
        <v>37</v>
      </c>
      <c r="B61" s="17">
        <v>45717</v>
      </c>
      <c r="C61" s="16" t="s">
        <v>16</v>
      </c>
      <c r="D61" s="16" t="s">
        <v>22</v>
      </c>
      <c r="E61" s="18">
        <v>118910.48</v>
      </c>
      <c r="F61" s="16">
        <v>4022</v>
      </c>
      <c r="G61" s="19">
        <v>0.13700000000000001</v>
      </c>
      <c r="H61" s="16">
        <v>11</v>
      </c>
      <c r="I61" s="18">
        <v>87.1</v>
      </c>
      <c r="J61" s="18">
        <v>0.2</v>
      </c>
      <c r="K61" s="16">
        <v>0</v>
      </c>
      <c r="L61" s="18">
        <v>3.1</v>
      </c>
      <c r="M61" s="18">
        <v>617291.15</v>
      </c>
      <c r="N61" s="18">
        <v>117782</v>
      </c>
    </row>
    <row r="62" spans="1:14">
      <c r="A62" s="20" t="s">
        <v>37</v>
      </c>
      <c r="B62" s="21">
        <v>45748</v>
      </c>
      <c r="C62" s="20" t="s">
        <v>16</v>
      </c>
      <c r="D62" s="20" t="s">
        <v>22</v>
      </c>
      <c r="E62" s="22">
        <v>52952.12</v>
      </c>
      <c r="F62" s="20">
        <v>4377</v>
      </c>
      <c r="G62" s="23">
        <v>9.1999999999999998E-2</v>
      </c>
      <c r="H62" s="20">
        <v>14</v>
      </c>
      <c r="I62" s="22">
        <v>88.6</v>
      </c>
      <c r="J62" s="22">
        <v>13.59</v>
      </c>
      <c r="K62" s="20">
        <v>0</v>
      </c>
      <c r="L62" s="22">
        <v>3.1</v>
      </c>
      <c r="M62" s="22">
        <v>553756.43000000005</v>
      </c>
      <c r="N62" s="22">
        <v>86166.77</v>
      </c>
    </row>
    <row r="63" spans="1:14">
      <c r="A63" s="16" t="s">
        <v>38</v>
      </c>
      <c r="B63" s="17">
        <v>45658</v>
      </c>
      <c r="C63" s="16" t="s">
        <v>25</v>
      </c>
      <c r="D63" s="16" t="s">
        <v>19</v>
      </c>
      <c r="E63" s="18">
        <v>74907.98</v>
      </c>
      <c r="F63" s="16">
        <v>5306</v>
      </c>
      <c r="G63" s="19">
        <v>6.2E-2</v>
      </c>
      <c r="H63" s="16">
        <v>16</v>
      </c>
      <c r="I63" s="18">
        <v>95.6</v>
      </c>
      <c r="J63" s="18">
        <v>1.02</v>
      </c>
      <c r="K63" s="16">
        <v>0</v>
      </c>
      <c r="L63" s="18">
        <v>3.7</v>
      </c>
      <c r="M63" s="18">
        <v>749559.71</v>
      </c>
      <c r="N63" s="18">
        <v>144522.53</v>
      </c>
    </row>
    <row r="64" spans="1:14">
      <c r="A64" s="20" t="s">
        <v>38</v>
      </c>
      <c r="B64" s="21">
        <v>45689</v>
      </c>
      <c r="C64" s="20" t="s">
        <v>25</v>
      </c>
      <c r="D64" s="20" t="s">
        <v>19</v>
      </c>
      <c r="E64" s="22">
        <v>37284.660000000003</v>
      </c>
      <c r="F64" s="20">
        <v>3928</v>
      </c>
      <c r="G64" s="23">
        <v>7.3999999999999996E-2</v>
      </c>
      <c r="H64" s="20">
        <v>12</v>
      </c>
      <c r="I64" s="22">
        <v>86.5</v>
      </c>
      <c r="J64" s="22">
        <v>1.64</v>
      </c>
      <c r="K64" s="20">
        <v>0</v>
      </c>
      <c r="L64" s="22">
        <v>3.8</v>
      </c>
      <c r="M64" s="22">
        <v>615966.48</v>
      </c>
      <c r="N64" s="22">
        <v>91509.38</v>
      </c>
    </row>
    <row r="65" spans="1:14">
      <c r="A65" s="16" t="s">
        <v>38</v>
      </c>
      <c r="B65" s="17">
        <v>45717</v>
      </c>
      <c r="C65" s="16" t="s">
        <v>25</v>
      </c>
      <c r="D65" s="16" t="s">
        <v>19</v>
      </c>
      <c r="E65" s="18">
        <v>50343.19</v>
      </c>
      <c r="F65" s="16">
        <v>3845</v>
      </c>
      <c r="G65" s="19">
        <v>0.113</v>
      </c>
      <c r="H65" s="16">
        <v>9</v>
      </c>
      <c r="I65" s="18">
        <v>88.7</v>
      </c>
      <c r="J65" s="18">
        <v>5.15</v>
      </c>
      <c r="K65" s="16">
        <v>0</v>
      </c>
      <c r="L65" s="18">
        <v>3.3</v>
      </c>
      <c r="M65" s="18">
        <v>572011.19999999995</v>
      </c>
      <c r="N65" s="18">
        <v>101409.68</v>
      </c>
    </row>
    <row r="66" spans="1:14">
      <c r="A66" s="20" t="s">
        <v>38</v>
      </c>
      <c r="B66" s="21">
        <v>45748</v>
      </c>
      <c r="C66" s="20" t="s">
        <v>25</v>
      </c>
      <c r="D66" s="20" t="s">
        <v>19</v>
      </c>
      <c r="E66" s="22">
        <v>74954.47</v>
      </c>
      <c r="F66" s="20">
        <v>6620</v>
      </c>
      <c r="G66" s="23">
        <v>5.3999999999999999E-2</v>
      </c>
      <c r="H66" s="20">
        <v>17</v>
      </c>
      <c r="I66" s="22">
        <v>91.1</v>
      </c>
      <c r="J66" s="22">
        <v>1.1100000000000001</v>
      </c>
      <c r="K66" s="20">
        <v>0</v>
      </c>
      <c r="L66" s="22">
        <v>3.5</v>
      </c>
      <c r="M66" s="22">
        <v>761860.19</v>
      </c>
      <c r="N66" s="22">
        <v>133279.38</v>
      </c>
    </row>
    <row r="67" spans="1:14">
      <c r="A67" s="16" t="s">
        <v>39</v>
      </c>
      <c r="B67" s="17">
        <v>45658</v>
      </c>
      <c r="C67" s="16" t="s">
        <v>28</v>
      </c>
      <c r="D67" s="16" t="s">
        <v>19</v>
      </c>
      <c r="E67" s="18">
        <v>70040.31</v>
      </c>
      <c r="F67" s="16">
        <v>9175</v>
      </c>
      <c r="G67" s="19">
        <v>0.107</v>
      </c>
      <c r="H67" s="16">
        <v>23</v>
      </c>
      <c r="I67" s="18">
        <v>95.1</v>
      </c>
      <c r="J67" s="18">
        <v>6.08</v>
      </c>
      <c r="K67" s="16">
        <v>1</v>
      </c>
      <c r="L67" s="18">
        <v>3.4</v>
      </c>
      <c r="M67" s="18">
        <v>784502.68</v>
      </c>
      <c r="N67" s="18">
        <v>129519.72</v>
      </c>
    </row>
    <row r="68" spans="1:14">
      <c r="A68" s="20" t="s">
        <v>39</v>
      </c>
      <c r="B68" s="21">
        <v>45689</v>
      </c>
      <c r="C68" s="20" t="s">
        <v>28</v>
      </c>
      <c r="D68" s="20" t="s">
        <v>19</v>
      </c>
      <c r="E68" s="22">
        <v>51148.69</v>
      </c>
      <c r="F68" s="20">
        <v>7940</v>
      </c>
      <c r="G68" s="23">
        <v>0.156</v>
      </c>
      <c r="H68" s="20">
        <v>18</v>
      </c>
      <c r="I68" s="22">
        <v>93.3</v>
      </c>
      <c r="J68" s="22">
        <v>10.91</v>
      </c>
      <c r="K68" s="20">
        <v>0</v>
      </c>
      <c r="L68" s="22">
        <v>3.6</v>
      </c>
      <c r="M68" s="22">
        <v>717141.55</v>
      </c>
      <c r="N68" s="22">
        <v>134013.60999999999</v>
      </c>
    </row>
    <row r="69" spans="1:14">
      <c r="A69" s="16" t="s">
        <v>39</v>
      </c>
      <c r="B69" s="17">
        <v>45717</v>
      </c>
      <c r="C69" s="16" t="s">
        <v>28</v>
      </c>
      <c r="D69" s="16" t="s">
        <v>19</v>
      </c>
      <c r="E69" s="18">
        <v>79346.100000000006</v>
      </c>
      <c r="F69" s="16">
        <v>9628</v>
      </c>
      <c r="G69" s="19">
        <v>0.10199999999999999</v>
      </c>
      <c r="H69" s="16">
        <v>20</v>
      </c>
      <c r="I69" s="18">
        <v>99</v>
      </c>
      <c r="J69" s="18">
        <v>19.010000000000002</v>
      </c>
      <c r="K69" s="16">
        <v>1</v>
      </c>
      <c r="L69" s="18">
        <v>3.2</v>
      </c>
      <c r="M69" s="18">
        <v>685379.08</v>
      </c>
      <c r="N69" s="18">
        <v>106898.82</v>
      </c>
    </row>
    <row r="70" spans="1:14">
      <c r="A70" s="20" t="s">
        <v>39</v>
      </c>
      <c r="B70" s="21">
        <v>45748</v>
      </c>
      <c r="C70" s="20" t="s">
        <v>28</v>
      </c>
      <c r="D70" s="20" t="s">
        <v>19</v>
      </c>
      <c r="E70" s="22">
        <v>42018.400000000001</v>
      </c>
      <c r="F70" s="20">
        <v>8296</v>
      </c>
      <c r="G70" s="23">
        <v>0.115</v>
      </c>
      <c r="H70" s="20">
        <v>17</v>
      </c>
      <c r="I70" s="22">
        <v>91.8</v>
      </c>
      <c r="J70" s="22">
        <v>0.77</v>
      </c>
      <c r="K70" s="20">
        <v>0</v>
      </c>
      <c r="L70" s="22">
        <v>3.4</v>
      </c>
      <c r="M70" s="22">
        <v>740496.65</v>
      </c>
      <c r="N70" s="22">
        <v>128020.9</v>
      </c>
    </row>
    <row r="71" spans="1:14">
      <c r="A71" s="16" t="s">
        <v>40</v>
      </c>
      <c r="B71" s="17">
        <v>45658</v>
      </c>
      <c r="C71" s="16" t="s">
        <v>16</v>
      </c>
      <c r="D71" s="16" t="s">
        <v>19</v>
      </c>
      <c r="E71" s="18">
        <v>70937.240000000005</v>
      </c>
      <c r="F71" s="16">
        <v>3595</v>
      </c>
      <c r="G71" s="19">
        <v>0.14099999999999999</v>
      </c>
      <c r="H71" s="16">
        <v>11</v>
      </c>
      <c r="I71" s="18">
        <v>88.9</v>
      </c>
      <c r="J71" s="18">
        <v>2.83</v>
      </c>
      <c r="K71" s="16">
        <v>1</v>
      </c>
      <c r="L71" s="18">
        <v>3.3</v>
      </c>
      <c r="M71" s="18">
        <v>661927.14</v>
      </c>
      <c r="N71" s="18">
        <v>79218.570000000007</v>
      </c>
    </row>
    <row r="72" spans="1:14">
      <c r="A72" s="20" t="s">
        <v>40</v>
      </c>
      <c r="B72" s="21">
        <v>45689</v>
      </c>
      <c r="C72" s="20" t="s">
        <v>16</v>
      </c>
      <c r="D72" s="20" t="s">
        <v>19</v>
      </c>
      <c r="E72" s="22">
        <v>36813.449999999997</v>
      </c>
      <c r="F72" s="20">
        <v>2834</v>
      </c>
      <c r="G72" s="23">
        <v>0.191</v>
      </c>
      <c r="H72" s="20">
        <v>11</v>
      </c>
      <c r="I72" s="22">
        <v>81.8</v>
      </c>
      <c r="J72" s="22">
        <v>2.33</v>
      </c>
      <c r="K72" s="20">
        <v>0</v>
      </c>
      <c r="L72" s="22">
        <v>3.3</v>
      </c>
      <c r="M72" s="22">
        <v>479050.5</v>
      </c>
      <c r="N72" s="22">
        <v>53651.11</v>
      </c>
    </row>
    <row r="73" spans="1:14">
      <c r="A73" s="16" t="s">
        <v>40</v>
      </c>
      <c r="B73" s="17">
        <v>45717</v>
      </c>
      <c r="C73" s="16" t="s">
        <v>16</v>
      </c>
      <c r="D73" s="16" t="s">
        <v>19</v>
      </c>
      <c r="E73" s="18">
        <v>60571.82</v>
      </c>
      <c r="F73" s="16">
        <v>3193</v>
      </c>
      <c r="G73" s="19">
        <v>0.19700000000000001</v>
      </c>
      <c r="H73" s="16">
        <v>7</v>
      </c>
      <c r="I73" s="18">
        <v>99</v>
      </c>
      <c r="J73" s="18">
        <v>1.43</v>
      </c>
      <c r="K73" s="16">
        <v>0</v>
      </c>
      <c r="L73" s="18">
        <v>3.2</v>
      </c>
      <c r="M73" s="18">
        <v>605023.87</v>
      </c>
      <c r="N73" s="18">
        <v>98545.81</v>
      </c>
    </row>
    <row r="74" spans="1:14">
      <c r="A74" s="20" t="s">
        <v>40</v>
      </c>
      <c r="B74" s="21">
        <v>45748</v>
      </c>
      <c r="C74" s="20" t="s">
        <v>16</v>
      </c>
      <c r="D74" s="20" t="s">
        <v>19</v>
      </c>
      <c r="E74" s="22">
        <v>55081.16</v>
      </c>
      <c r="F74" s="20">
        <v>5485</v>
      </c>
      <c r="G74" s="23">
        <v>3.5999999999999997E-2</v>
      </c>
      <c r="H74" s="20">
        <v>12</v>
      </c>
      <c r="I74" s="22">
        <v>88</v>
      </c>
      <c r="J74" s="24"/>
      <c r="K74" s="20">
        <v>0</v>
      </c>
      <c r="L74" s="22">
        <v>3.5</v>
      </c>
      <c r="M74" s="22">
        <v>674774.09</v>
      </c>
      <c r="N74" s="22">
        <v>141917.59</v>
      </c>
    </row>
    <row r="75" spans="1:14">
      <c r="A75" s="16" t="s">
        <v>41</v>
      </c>
      <c r="B75" s="17">
        <v>45658</v>
      </c>
      <c r="C75" s="16" t="s">
        <v>16</v>
      </c>
      <c r="D75" s="16" t="s">
        <v>17</v>
      </c>
      <c r="E75" s="18">
        <v>46201.46</v>
      </c>
      <c r="F75" s="16">
        <v>5918</v>
      </c>
      <c r="G75" s="19">
        <v>0.27700000000000002</v>
      </c>
      <c r="H75" s="16">
        <v>13</v>
      </c>
      <c r="I75" s="18">
        <v>78.8</v>
      </c>
      <c r="J75" s="18">
        <v>4.91</v>
      </c>
      <c r="K75" s="16">
        <v>0</v>
      </c>
      <c r="L75" s="18">
        <v>4.5</v>
      </c>
      <c r="M75" s="18">
        <v>616069.41</v>
      </c>
      <c r="N75" s="18">
        <v>54453.99</v>
      </c>
    </row>
    <row r="76" spans="1:14">
      <c r="A76" s="20" t="s">
        <v>41</v>
      </c>
      <c r="B76" s="21">
        <v>45689</v>
      </c>
      <c r="C76" s="20" t="s">
        <v>16</v>
      </c>
      <c r="D76" s="20" t="s">
        <v>17</v>
      </c>
      <c r="E76" s="22">
        <v>53762.92</v>
      </c>
      <c r="F76" s="20">
        <v>6821</v>
      </c>
      <c r="G76" s="23">
        <v>6.6000000000000003E-2</v>
      </c>
      <c r="H76" s="20">
        <v>19</v>
      </c>
      <c r="I76" s="22">
        <v>94.6</v>
      </c>
      <c r="J76" s="22">
        <v>7.03</v>
      </c>
      <c r="K76" s="20">
        <v>0</v>
      </c>
      <c r="L76" s="22">
        <v>4.4000000000000004</v>
      </c>
      <c r="M76" s="22">
        <v>630829.93999999994</v>
      </c>
      <c r="N76" s="22">
        <v>117090.02</v>
      </c>
    </row>
    <row r="77" spans="1:14">
      <c r="A77" s="16" t="s">
        <v>41</v>
      </c>
      <c r="B77" s="17">
        <v>45717</v>
      </c>
      <c r="C77" s="16" t="s">
        <v>16</v>
      </c>
      <c r="D77" s="16" t="s">
        <v>17</v>
      </c>
      <c r="E77" s="18">
        <v>70144.78</v>
      </c>
      <c r="F77" s="16">
        <v>6806</v>
      </c>
      <c r="G77" s="19">
        <v>0.17799999999999999</v>
      </c>
      <c r="H77" s="16">
        <v>20</v>
      </c>
      <c r="I77" s="18">
        <v>93.1</v>
      </c>
      <c r="J77" s="18">
        <v>0.28000000000000003</v>
      </c>
      <c r="K77" s="16">
        <v>1</v>
      </c>
      <c r="L77" s="18">
        <v>4.3</v>
      </c>
      <c r="M77" s="18">
        <v>788087.68</v>
      </c>
      <c r="N77" s="18">
        <v>116803.42</v>
      </c>
    </row>
    <row r="78" spans="1:14">
      <c r="A78" s="20" t="s">
        <v>41</v>
      </c>
      <c r="B78" s="21">
        <v>45748</v>
      </c>
      <c r="C78" s="20" t="s">
        <v>16</v>
      </c>
      <c r="D78" s="20" t="s">
        <v>17</v>
      </c>
      <c r="E78" s="22">
        <v>58749.63</v>
      </c>
      <c r="F78" s="20">
        <v>8252</v>
      </c>
      <c r="G78" s="23">
        <v>0.20300000000000001</v>
      </c>
      <c r="H78" s="20">
        <v>20</v>
      </c>
      <c r="I78" s="22">
        <v>85.2</v>
      </c>
      <c r="J78" s="22">
        <v>3.61</v>
      </c>
      <c r="K78" s="20">
        <v>0</v>
      </c>
      <c r="L78" s="22">
        <v>4.5</v>
      </c>
      <c r="M78" s="22">
        <v>680840.36</v>
      </c>
      <c r="N78" s="22">
        <v>68007.679999999993</v>
      </c>
    </row>
    <row r="79" spans="1:14">
      <c r="A79" s="16" t="s">
        <v>42</v>
      </c>
      <c r="B79" s="17">
        <v>45658</v>
      </c>
      <c r="C79" s="16" t="s">
        <v>25</v>
      </c>
      <c r="D79" s="16" t="s">
        <v>19</v>
      </c>
      <c r="E79" s="18">
        <v>56973.18</v>
      </c>
      <c r="F79" s="16">
        <v>6662</v>
      </c>
      <c r="G79" s="19">
        <v>0.1</v>
      </c>
      <c r="H79" s="16">
        <v>15</v>
      </c>
      <c r="I79" s="18">
        <v>77.7</v>
      </c>
      <c r="J79" s="18">
        <v>7.52</v>
      </c>
      <c r="K79" s="16">
        <v>1</v>
      </c>
      <c r="L79" s="18">
        <v>3.2</v>
      </c>
      <c r="M79" s="18">
        <v>643657.47</v>
      </c>
      <c r="N79" s="18">
        <v>87022.45</v>
      </c>
    </row>
    <row r="80" spans="1:14">
      <c r="A80" s="20" t="s">
        <v>42</v>
      </c>
      <c r="B80" s="21">
        <v>45689</v>
      </c>
      <c r="C80" s="20" t="s">
        <v>25</v>
      </c>
      <c r="D80" s="20" t="s">
        <v>19</v>
      </c>
      <c r="E80" s="22">
        <v>54872.82</v>
      </c>
      <c r="F80" s="20">
        <v>5962</v>
      </c>
      <c r="G80" s="23">
        <v>6.4000000000000001E-2</v>
      </c>
      <c r="H80" s="20">
        <v>12</v>
      </c>
      <c r="I80" s="22">
        <v>85.4</v>
      </c>
      <c r="J80" s="22">
        <v>2.58</v>
      </c>
      <c r="K80" s="20">
        <v>0</v>
      </c>
      <c r="L80" s="22">
        <v>2.9</v>
      </c>
      <c r="M80" s="22">
        <v>691112.6</v>
      </c>
      <c r="N80" s="22">
        <v>109212.83</v>
      </c>
    </row>
    <row r="81" spans="1:14">
      <c r="A81" s="16" t="s">
        <v>42</v>
      </c>
      <c r="B81" s="17">
        <v>45717</v>
      </c>
      <c r="C81" s="16" t="s">
        <v>25</v>
      </c>
      <c r="D81" s="16" t="s">
        <v>19</v>
      </c>
      <c r="E81" s="18">
        <v>80562.81</v>
      </c>
      <c r="F81" s="16">
        <v>7470</v>
      </c>
      <c r="G81" s="19">
        <v>0.17199999999999999</v>
      </c>
      <c r="H81" s="16">
        <v>16</v>
      </c>
      <c r="I81" s="18">
        <v>83.5</v>
      </c>
      <c r="J81" s="18">
        <v>2.29</v>
      </c>
      <c r="K81" s="16">
        <v>0</v>
      </c>
      <c r="L81" s="18">
        <v>3.3</v>
      </c>
      <c r="M81" s="18">
        <v>776922.17</v>
      </c>
      <c r="N81" s="18">
        <v>150701.93</v>
      </c>
    </row>
    <row r="82" spans="1:14">
      <c r="A82" s="20" t="s">
        <v>42</v>
      </c>
      <c r="B82" s="21">
        <v>45748</v>
      </c>
      <c r="C82" s="20" t="s">
        <v>25</v>
      </c>
      <c r="D82" s="20" t="s">
        <v>19</v>
      </c>
      <c r="E82" s="22">
        <v>77999.899999999994</v>
      </c>
      <c r="F82" s="20">
        <v>5974</v>
      </c>
      <c r="G82" s="23">
        <v>0.252</v>
      </c>
      <c r="H82" s="20">
        <v>14</v>
      </c>
      <c r="I82" s="22">
        <v>81.3</v>
      </c>
      <c r="J82" s="22">
        <v>2.39</v>
      </c>
      <c r="K82" s="20">
        <v>0</v>
      </c>
      <c r="L82" s="22">
        <v>3.2</v>
      </c>
      <c r="M82" s="22">
        <v>636561.34</v>
      </c>
      <c r="N82" s="22">
        <v>93861.06</v>
      </c>
    </row>
    <row r="83" spans="1:14">
      <c r="A83" s="16" t="s">
        <v>43</v>
      </c>
      <c r="B83" s="17">
        <v>45658</v>
      </c>
      <c r="C83" s="16" t="s">
        <v>28</v>
      </c>
      <c r="D83" s="16" t="s">
        <v>29</v>
      </c>
      <c r="E83" s="18">
        <v>60881.01</v>
      </c>
      <c r="F83" s="16">
        <v>5410</v>
      </c>
      <c r="G83" s="19">
        <v>0.17899999999999999</v>
      </c>
      <c r="H83" s="16">
        <v>15</v>
      </c>
      <c r="I83" s="18">
        <v>83.9</v>
      </c>
      <c r="J83" s="18">
        <v>5.24</v>
      </c>
      <c r="K83" s="16">
        <v>0</v>
      </c>
      <c r="L83" s="18">
        <v>4.5999999999999996</v>
      </c>
      <c r="M83" s="18">
        <v>621369.57999999996</v>
      </c>
      <c r="N83" s="18">
        <v>85493.64</v>
      </c>
    </row>
    <row r="84" spans="1:14">
      <c r="A84" s="20" t="s">
        <v>43</v>
      </c>
      <c r="B84" s="21">
        <v>45689</v>
      </c>
      <c r="C84" s="20" t="s">
        <v>28</v>
      </c>
      <c r="D84" s="20" t="s">
        <v>29</v>
      </c>
      <c r="E84" s="22">
        <v>60628.38</v>
      </c>
      <c r="F84" s="20">
        <v>4451</v>
      </c>
      <c r="G84" s="23">
        <v>9.5000000000000001E-2</v>
      </c>
      <c r="H84" s="20">
        <v>10</v>
      </c>
      <c r="I84" s="22">
        <v>89.6</v>
      </c>
      <c r="J84" s="22">
        <v>3.17</v>
      </c>
      <c r="K84" s="20">
        <v>0</v>
      </c>
      <c r="L84" s="22">
        <v>4.5999999999999996</v>
      </c>
      <c r="M84" s="22">
        <v>682208.01</v>
      </c>
      <c r="N84" s="22">
        <v>110318.84</v>
      </c>
    </row>
    <row r="85" spans="1:14">
      <c r="A85" s="16" t="s">
        <v>43</v>
      </c>
      <c r="B85" s="17">
        <v>45717</v>
      </c>
      <c r="C85" s="16" t="s">
        <v>28</v>
      </c>
      <c r="D85" s="16" t="s">
        <v>29</v>
      </c>
      <c r="E85" s="18">
        <v>72731.14</v>
      </c>
      <c r="F85" s="16">
        <v>4644</v>
      </c>
      <c r="G85" s="19">
        <v>8.4000000000000005E-2</v>
      </c>
      <c r="H85" s="16">
        <v>15</v>
      </c>
      <c r="I85" s="18">
        <v>87.1</v>
      </c>
      <c r="J85" s="18">
        <v>2.66</v>
      </c>
      <c r="K85" s="16">
        <v>0</v>
      </c>
      <c r="L85" s="18">
        <v>4.5999999999999996</v>
      </c>
      <c r="M85" s="18">
        <v>727241.86</v>
      </c>
      <c r="N85" s="18">
        <v>155810.29999999999</v>
      </c>
    </row>
    <row r="86" spans="1:14">
      <c r="A86" s="20" t="s">
        <v>43</v>
      </c>
      <c r="B86" s="21">
        <v>45748</v>
      </c>
      <c r="C86" s="20" t="s">
        <v>28</v>
      </c>
      <c r="D86" s="20" t="s">
        <v>29</v>
      </c>
      <c r="E86" s="22">
        <v>36475.71</v>
      </c>
      <c r="F86" s="20">
        <v>3559</v>
      </c>
      <c r="G86" s="23">
        <v>0.03</v>
      </c>
      <c r="H86" s="20">
        <v>8</v>
      </c>
      <c r="I86" s="22">
        <v>83.6</v>
      </c>
      <c r="J86" s="22">
        <v>1.41</v>
      </c>
      <c r="K86" s="20">
        <v>0</v>
      </c>
      <c r="L86" s="22">
        <v>4.2</v>
      </c>
      <c r="M86" s="22">
        <v>569100.78</v>
      </c>
      <c r="N86" s="22">
        <v>104808.78</v>
      </c>
    </row>
    <row r="87" spans="1:14">
      <c r="A87" s="16" t="s">
        <v>44</v>
      </c>
      <c r="B87" s="17">
        <v>45658</v>
      </c>
      <c r="C87" s="16" t="s">
        <v>28</v>
      </c>
      <c r="D87" s="16" t="s">
        <v>19</v>
      </c>
      <c r="E87" s="18">
        <v>55388.11</v>
      </c>
      <c r="F87" s="16">
        <v>3091</v>
      </c>
      <c r="G87" s="19">
        <v>0.108</v>
      </c>
      <c r="H87" s="16">
        <v>7</v>
      </c>
      <c r="I87" s="18">
        <v>85.4</v>
      </c>
      <c r="J87" s="18">
        <v>7.34</v>
      </c>
      <c r="K87" s="16">
        <v>0</v>
      </c>
      <c r="L87" s="18">
        <v>4.9000000000000004</v>
      </c>
      <c r="M87" s="18">
        <v>574436.29</v>
      </c>
      <c r="N87" s="18">
        <v>80271.990000000005</v>
      </c>
    </row>
    <row r="88" spans="1:14">
      <c r="A88" s="20" t="s">
        <v>44</v>
      </c>
      <c r="B88" s="21">
        <v>45689</v>
      </c>
      <c r="C88" s="20" t="s">
        <v>28</v>
      </c>
      <c r="D88" s="20" t="s">
        <v>19</v>
      </c>
      <c r="E88" s="22">
        <v>88443.77</v>
      </c>
      <c r="F88" s="20">
        <v>4004</v>
      </c>
      <c r="G88" s="23">
        <v>0.20599999999999999</v>
      </c>
      <c r="H88" s="20">
        <v>11</v>
      </c>
      <c r="I88" s="22">
        <v>91.9</v>
      </c>
      <c r="J88" s="22">
        <v>5.95</v>
      </c>
      <c r="K88" s="20">
        <v>0</v>
      </c>
      <c r="L88" s="24"/>
      <c r="M88" s="22">
        <v>611766.72</v>
      </c>
      <c r="N88" s="22">
        <v>88275.61</v>
      </c>
    </row>
    <row r="89" spans="1:14">
      <c r="A89" s="16" t="s">
        <v>44</v>
      </c>
      <c r="B89" s="17">
        <v>45717</v>
      </c>
      <c r="C89" s="16" t="s">
        <v>28</v>
      </c>
      <c r="D89" s="16" t="s">
        <v>19</v>
      </c>
      <c r="E89" s="18">
        <v>78231.91</v>
      </c>
      <c r="F89" s="16">
        <v>3788</v>
      </c>
      <c r="G89" s="19">
        <v>5.8999999999999997E-2</v>
      </c>
      <c r="H89" s="16">
        <v>11</v>
      </c>
      <c r="I89" s="18">
        <v>88.5</v>
      </c>
      <c r="J89" s="18">
        <v>15.51</v>
      </c>
      <c r="K89" s="16">
        <v>0</v>
      </c>
      <c r="L89" s="18">
        <v>4.3</v>
      </c>
      <c r="M89" s="18">
        <v>614596.31999999995</v>
      </c>
      <c r="N89" s="18">
        <v>131199.41</v>
      </c>
    </row>
    <row r="90" spans="1:14">
      <c r="A90" s="20" t="s">
        <v>44</v>
      </c>
      <c r="B90" s="21">
        <v>45748</v>
      </c>
      <c r="C90" s="20" t="s">
        <v>28</v>
      </c>
      <c r="D90" s="20" t="s">
        <v>19</v>
      </c>
      <c r="E90" s="22">
        <v>18996.32</v>
      </c>
      <c r="F90" s="20">
        <v>1260</v>
      </c>
      <c r="G90" s="23">
        <v>0.14499999999999999</v>
      </c>
      <c r="H90" s="20">
        <v>9</v>
      </c>
      <c r="I90" s="22">
        <v>86.4</v>
      </c>
      <c r="J90" s="22">
        <v>4.3099999999999996</v>
      </c>
      <c r="K90" s="20">
        <v>0</v>
      </c>
      <c r="L90" s="22">
        <v>4.5999999999999996</v>
      </c>
      <c r="M90" s="22">
        <v>450711.92</v>
      </c>
      <c r="N90" s="22">
        <v>90043.76</v>
      </c>
    </row>
    <row r="91" spans="1:14">
      <c r="A91" s="16" t="s">
        <v>45</v>
      </c>
      <c r="B91" s="17">
        <v>45658</v>
      </c>
      <c r="C91" s="16" t="s">
        <v>25</v>
      </c>
      <c r="D91" s="16" t="s">
        <v>29</v>
      </c>
      <c r="E91" s="18">
        <v>50517.94</v>
      </c>
      <c r="F91" s="16">
        <v>7024</v>
      </c>
      <c r="G91" s="19">
        <v>2.9000000000000001E-2</v>
      </c>
      <c r="H91" s="16">
        <v>18</v>
      </c>
      <c r="I91" s="18">
        <v>79.2</v>
      </c>
      <c r="J91" s="18">
        <v>6.61</v>
      </c>
      <c r="K91" s="16">
        <v>1</v>
      </c>
      <c r="L91" s="18">
        <v>4.0999999999999996</v>
      </c>
      <c r="M91" s="18">
        <v>711213.46</v>
      </c>
      <c r="N91" s="18">
        <v>105863.26</v>
      </c>
    </row>
    <row r="92" spans="1:14">
      <c r="A92" s="20" t="s">
        <v>45</v>
      </c>
      <c r="B92" s="21">
        <v>45689</v>
      </c>
      <c r="C92" s="20" t="s">
        <v>25</v>
      </c>
      <c r="D92" s="20" t="s">
        <v>29</v>
      </c>
      <c r="E92" s="22">
        <v>141540.29</v>
      </c>
      <c r="F92" s="20">
        <v>5400</v>
      </c>
      <c r="G92" s="23">
        <v>1.2999999999999999E-2</v>
      </c>
      <c r="H92" s="20">
        <v>12</v>
      </c>
      <c r="I92" s="22">
        <v>87</v>
      </c>
      <c r="J92" s="22">
        <v>4.26</v>
      </c>
      <c r="K92" s="20">
        <v>0</v>
      </c>
      <c r="L92" s="22">
        <v>4.5</v>
      </c>
      <c r="M92" s="22">
        <v>627171.9</v>
      </c>
      <c r="N92" s="22">
        <v>105772.75</v>
      </c>
    </row>
    <row r="93" spans="1:14">
      <c r="A93" s="16" t="s">
        <v>45</v>
      </c>
      <c r="B93" s="17">
        <v>45717</v>
      </c>
      <c r="C93" s="16" t="s">
        <v>25</v>
      </c>
      <c r="D93" s="16" t="s">
        <v>29</v>
      </c>
      <c r="E93" s="18">
        <v>82116.19</v>
      </c>
      <c r="F93" s="16">
        <v>5988</v>
      </c>
      <c r="G93" s="19">
        <v>0.04</v>
      </c>
      <c r="H93" s="16">
        <v>17</v>
      </c>
      <c r="I93" s="18">
        <v>91.8</v>
      </c>
      <c r="J93" s="18">
        <v>5.75</v>
      </c>
      <c r="K93" s="16">
        <v>0</v>
      </c>
      <c r="L93" s="18">
        <v>4.7</v>
      </c>
      <c r="M93" s="18">
        <v>739852.58</v>
      </c>
      <c r="N93" s="18">
        <v>129386.43</v>
      </c>
    </row>
    <row r="94" spans="1:14">
      <c r="A94" s="20" t="s">
        <v>45</v>
      </c>
      <c r="B94" s="21">
        <v>45748</v>
      </c>
      <c r="C94" s="20" t="s">
        <v>25</v>
      </c>
      <c r="D94" s="20" t="s">
        <v>29</v>
      </c>
      <c r="E94" s="22">
        <v>31207.51</v>
      </c>
      <c r="F94" s="20">
        <v>3701</v>
      </c>
      <c r="G94" s="23">
        <v>4.2999999999999997E-2</v>
      </c>
      <c r="H94" s="20">
        <v>11</v>
      </c>
      <c r="I94" s="22">
        <v>84.7</v>
      </c>
      <c r="J94" s="22">
        <v>0.33</v>
      </c>
      <c r="K94" s="20">
        <v>0</v>
      </c>
      <c r="L94" s="22">
        <v>4.3</v>
      </c>
      <c r="M94" s="22">
        <v>586307.22</v>
      </c>
      <c r="N94" s="22">
        <v>73927.850000000006</v>
      </c>
    </row>
    <row r="95" spans="1:14">
      <c r="A95" s="16" t="s">
        <v>46</v>
      </c>
      <c r="B95" s="17">
        <v>45658</v>
      </c>
      <c r="C95" s="16" t="s">
        <v>28</v>
      </c>
      <c r="D95" s="16" t="s">
        <v>17</v>
      </c>
      <c r="E95" s="18">
        <v>38966.589999999997</v>
      </c>
      <c r="F95" s="16">
        <v>4509</v>
      </c>
      <c r="G95" s="19">
        <v>0.19400000000000001</v>
      </c>
      <c r="H95" s="16">
        <v>14</v>
      </c>
      <c r="I95" s="18">
        <v>91.1</v>
      </c>
      <c r="J95" s="18">
        <v>2.92</v>
      </c>
      <c r="K95" s="16">
        <v>0</v>
      </c>
      <c r="L95" s="18">
        <v>4.5999999999999996</v>
      </c>
      <c r="M95" s="18">
        <v>585937.48</v>
      </c>
      <c r="N95" s="18">
        <v>82624.2</v>
      </c>
    </row>
    <row r="96" spans="1:14">
      <c r="A96" s="20" t="s">
        <v>46</v>
      </c>
      <c r="B96" s="21">
        <v>45689</v>
      </c>
      <c r="C96" s="20" t="s">
        <v>28</v>
      </c>
      <c r="D96" s="20" t="s">
        <v>17</v>
      </c>
      <c r="E96" s="22">
        <v>67439.3</v>
      </c>
      <c r="F96" s="20">
        <v>6477</v>
      </c>
      <c r="G96" s="23">
        <v>0</v>
      </c>
      <c r="H96" s="20">
        <v>16</v>
      </c>
      <c r="I96" s="22">
        <v>90.9</v>
      </c>
      <c r="J96" s="22">
        <v>1.64</v>
      </c>
      <c r="K96" s="20">
        <v>0</v>
      </c>
      <c r="L96" s="22">
        <v>4.5</v>
      </c>
      <c r="M96" s="22">
        <v>753473.55</v>
      </c>
      <c r="N96" s="22">
        <v>151527.22</v>
      </c>
    </row>
    <row r="97" spans="1:14">
      <c r="A97" s="16" t="s">
        <v>46</v>
      </c>
      <c r="B97" s="17">
        <v>45717</v>
      </c>
      <c r="C97" s="16" t="s">
        <v>28</v>
      </c>
      <c r="D97" s="16" t="s">
        <v>17</v>
      </c>
      <c r="E97" s="18">
        <v>86421.88</v>
      </c>
      <c r="F97" s="16">
        <v>7970</v>
      </c>
      <c r="G97" s="19">
        <v>7.2999999999999995E-2</v>
      </c>
      <c r="H97" s="16">
        <v>17</v>
      </c>
      <c r="I97" s="18">
        <v>91.3</v>
      </c>
      <c r="J97" s="18">
        <v>0.8</v>
      </c>
      <c r="K97" s="16">
        <v>0</v>
      </c>
      <c r="L97" s="18">
        <v>5</v>
      </c>
      <c r="M97" s="18">
        <v>838250.32</v>
      </c>
      <c r="N97" s="18">
        <v>122939.34</v>
      </c>
    </row>
    <row r="98" spans="1:14">
      <c r="A98" s="20" t="s">
        <v>46</v>
      </c>
      <c r="B98" s="21">
        <v>45748</v>
      </c>
      <c r="C98" s="20" t="s">
        <v>28</v>
      </c>
      <c r="D98" s="20" t="s">
        <v>17</v>
      </c>
      <c r="E98" s="22">
        <v>9534.65</v>
      </c>
      <c r="F98" s="20">
        <v>6057</v>
      </c>
      <c r="G98" s="23">
        <v>7.3999999999999996E-2</v>
      </c>
      <c r="H98" s="20">
        <v>15</v>
      </c>
      <c r="I98" s="22">
        <v>94.1</v>
      </c>
      <c r="J98" s="22">
        <v>5.79</v>
      </c>
      <c r="K98" s="20">
        <v>0</v>
      </c>
      <c r="L98" s="22">
        <v>4.5</v>
      </c>
      <c r="M98" s="22">
        <v>607898.12</v>
      </c>
      <c r="N98" s="22">
        <v>135404.85</v>
      </c>
    </row>
    <row r="99" spans="1:14">
      <c r="A99" s="16" t="s">
        <v>47</v>
      </c>
      <c r="B99" s="17">
        <v>45658</v>
      </c>
      <c r="C99" s="16" t="s">
        <v>28</v>
      </c>
      <c r="D99" s="16" t="s">
        <v>29</v>
      </c>
      <c r="E99" s="18">
        <v>61132.07</v>
      </c>
      <c r="F99" s="16">
        <v>6394</v>
      </c>
      <c r="G99" s="19">
        <v>0.16300000000000001</v>
      </c>
      <c r="H99" s="16">
        <v>19</v>
      </c>
      <c r="I99" s="18">
        <v>91</v>
      </c>
      <c r="J99" s="18">
        <v>19.600000000000001</v>
      </c>
      <c r="K99" s="16">
        <v>0</v>
      </c>
      <c r="L99" s="18">
        <v>4.4000000000000004</v>
      </c>
      <c r="M99" s="18">
        <v>691113.62</v>
      </c>
      <c r="N99" s="18">
        <v>135145.44</v>
      </c>
    </row>
    <row r="100" spans="1:14">
      <c r="A100" s="20" t="s">
        <v>47</v>
      </c>
      <c r="B100" s="21">
        <v>45689</v>
      </c>
      <c r="C100" s="20" t="s">
        <v>28</v>
      </c>
      <c r="D100" s="20" t="s">
        <v>29</v>
      </c>
      <c r="E100" s="22">
        <v>78839.39</v>
      </c>
      <c r="F100" s="20">
        <v>5150</v>
      </c>
      <c r="G100" s="23">
        <v>0.17100000000000001</v>
      </c>
      <c r="H100" s="20">
        <v>13</v>
      </c>
      <c r="I100" s="22">
        <v>85.8</v>
      </c>
      <c r="J100" s="22">
        <v>7.57</v>
      </c>
      <c r="K100" s="20">
        <v>0</v>
      </c>
      <c r="L100" s="22">
        <v>4.3</v>
      </c>
      <c r="M100" s="22">
        <v>735509.4</v>
      </c>
      <c r="N100" s="22">
        <v>83895.96</v>
      </c>
    </row>
    <row r="101" spans="1:14">
      <c r="A101" s="16" t="s">
        <v>47</v>
      </c>
      <c r="B101" s="17">
        <v>45717</v>
      </c>
      <c r="C101" s="16" t="s">
        <v>28</v>
      </c>
      <c r="D101" s="16" t="s">
        <v>29</v>
      </c>
      <c r="E101" s="18">
        <v>38752.800000000003</v>
      </c>
      <c r="F101" s="16">
        <v>4712</v>
      </c>
      <c r="G101" s="19">
        <v>7.4999999999999997E-2</v>
      </c>
      <c r="H101" s="16">
        <v>15</v>
      </c>
      <c r="I101" s="18">
        <v>89.7</v>
      </c>
      <c r="J101" s="24"/>
      <c r="K101" s="16">
        <v>0</v>
      </c>
      <c r="L101" s="18">
        <v>4.3</v>
      </c>
      <c r="M101" s="18">
        <v>605775.32999999996</v>
      </c>
      <c r="N101" s="18">
        <v>107194.6</v>
      </c>
    </row>
    <row r="102" spans="1:14">
      <c r="A102" s="20" t="s">
        <v>47</v>
      </c>
      <c r="B102" s="21">
        <v>45748</v>
      </c>
      <c r="C102" s="20" t="s">
        <v>28</v>
      </c>
      <c r="D102" s="20" t="s">
        <v>29</v>
      </c>
      <c r="E102" s="22">
        <v>55101.1</v>
      </c>
      <c r="F102" s="20">
        <v>5281</v>
      </c>
      <c r="G102" s="23">
        <v>0.189</v>
      </c>
      <c r="H102" s="20">
        <v>11</v>
      </c>
      <c r="I102" s="22">
        <v>91</v>
      </c>
      <c r="J102" s="22">
        <v>2.7</v>
      </c>
      <c r="K102" s="20">
        <v>0</v>
      </c>
      <c r="L102" s="22">
        <v>4.4000000000000004</v>
      </c>
      <c r="M102" s="22">
        <v>675177.68</v>
      </c>
      <c r="N102" s="22">
        <v>105628.68</v>
      </c>
    </row>
    <row r="103" spans="1:14">
      <c r="A103" s="16" t="s">
        <v>48</v>
      </c>
      <c r="B103" s="17">
        <v>45658</v>
      </c>
      <c r="C103" s="16" t="s">
        <v>16</v>
      </c>
      <c r="D103" s="16" t="s">
        <v>29</v>
      </c>
      <c r="E103" s="18">
        <v>53084.76</v>
      </c>
      <c r="F103" s="16">
        <v>3642</v>
      </c>
      <c r="G103" s="19">
        <v>0.15</v>
      </c>
      <c r="H103" s="16">
        <v>12</v>
      </c>
      <c r="I103" s="18">
        <v>91.4</v>
      </c>
      <c r="J103" s="18">
        <v>0.2</v>
      </c>
      <c r="K103" s="16">
        <v>0</v>
      </c>
      <c r="L103" s="18">
        <v>4.4000000000000004</v>
      </c>
      <c r="M103" s="18">
        <v>635181.35</v>
      </c>
      <c r="N103" s="18">
        <v>83341.25</v>
      </c>
    </row>
    <row r="104" spans="1:14">
      <c r="A104" s="20" t="s">
        <v>48</v>
      </c>
      <c r="B104" s="21">
        <v>45689</v>
      </c>
      <c r="C104" s="20" t="s">
        <v>16</v>
      </c>
      <c r="D104" s="20" t="s">
        <v>29</v>
      </c>
      <c r="E104" s="22">
        <v>63101.59</v>
      </c>
      <c r="F104" s="20">
        <v>4373</v>
      </c>
      <c r="G104" s="23">
        <v>0.17299999999999999</v>
      </c>
      <c r="H104" s="20">
        <v>14</v>
      </c>
      <c r="I104" s="22">
        <v>90.4</v>
      </c>
      <c r="J104" s="22">
        <v>7.87</v>
      </c>
      <c r="K104" s="20">
        <v>0</v>
      </c>
      <c r="L104" s="22">
        <v>4.7</v>
      </c>
      <c r="M104" s="22">
        <v>586626.93999999994</v>
      </c>
      <c r="N104" s="22">
        <v>86498.55</v>
      </c>
    </row>
    <row r="105" spans="1:14">
      <c r="A105" s="16" t="s">
        <v>48</v>
      </c>
      <c r="B105" s="17">
        <v>45717</v>
      </c>
      <c r="C105" s="16" t="s">
        <v>16</v>
      </c>
      <c r="D105" s="16" t="s">
        <v>29</v>
      </c>
      <c r="E105" s="18">
        <v>90084.4</v>
      </c>
      <c r="F105" s="16">
        <v>6832</v>
      </c>
      <c r="G105" s="19">
        <v>0.185</v>
      </c>
      <c r="H105" s="16">
        <v>14</v>
      </c>
      <c r="I105" s="18">
        <v>80.5</v>
      </c>
      <c r="J105" s="18">
        <v>0.77</v>
      </c>
      <c r="K105" s="16">
        <v>1</v>
      </c>
      <c r="L105" s="18">
        <v>4.4000000000000004</v>
      </c>
      <c r="M105" s="18">
        <v>740102.64</v>
      </c>
      <c r="N105" s="18">
        <v>114299.07</v>
      </c>
    </row>
    <row r="106" spans="1:14">
      <c r="A106" s="20" t="s">
        <v>48</v>
      </c>
      <c r="B106" s="21">
        <v>45748</v>
      </c>
      <c r="C106" s="20" t="s">
        <v>16</v>
      </c>
      <c r="D106" s="20" t="s">
        <v>29</v>
      </c>
      <c r="E106" s="22">
        <v>32266.639999999999</v>
      </c>
      <c r="F106" s="20">
        <v>2414</v>
      </c>
      <c r="G106" s="23">
        <v>0.08</v>
      </c>
      <c r="H106" s="20">
        <v>7</v>
      </c>
      <c r="I106" s="22">
        <v>92.1</v>
      </c>
      <c r="J106" s="22">
        <v>1.48</v>
      </c>
      <c r="K106" s="20">
        <v>0</v>
      </c>
      <c r="L106" s="22">
        <v>5</v>
      </c>
      <c r="M106" s="22">
        <v>625514.04</v>
      </c>
      <c r="N106" s="22">
        <v>120685.08</v>
      </c>
    </row>
    <row r="107" spans="1:14">
      <c r="A107" s="16" t="s">
        <v>49</v>
      </c>
      <c r="B107" s="17">
        <v>45658</v>
      </c>
      <c r="C107" s="16" t="s">
        <v>28</v>
      </c>
      <c r="D107" s="16" t="s">
        <v>19</v>
      </c>
      <c r="E107" s="18">
        <v>57919.07</v>
      </c>
      <c r="F107" s="16">
        <v>7374</v>
      </c>
      <c r="G107" s="19">
        <v>0.10299999999999999</v>
      </c>
      <c r="H107" s="16">
        <v>21</v>
      </c>
      <c r="I107" s="18">
        <v>82.3</v>
      </c>
      <c r="J107" s="18">
        <v>2.87</v>
      </c>
      <c r="K107" s="16">
        <v>0</v>
      </c>
      <c r="L107" s="18">
        <v>2.9</v>
      </c>
      <c r="M107" s="18">
        <v>727227.2</v>
      </c>
      <c r="N107" s="18">
        <v>121292.01</v>
      </c>
    </row>
    <row r="108" spans="1:14">
      <c r="A108" s="20" t="s">
        <v>49</v>
      </c>
      <c r="B108" s="21">
        <v>45689</v>
      </c>
      <c r="C108" s="20" t="s">
        <v>28</v>
      </c>
      <c r="D108" s="20" t="s">
        <v>19</v>
      </c>
      <c r="E108" s="22">
        <v>74679.350000000006</v>
      </c>
      <c r="F108" s="20">
        <v>8739</v>
      </c>
      <c r="G108" s="23">
        <v>5.6000000000000001E-2</v>
      </c>
      <c r="H108" s="20">
        <v>21</v>
      </c>
      <c r="I108" s="22">
        <v>91.8</v>
      </c>
      <c r="J108" s="22">
        <v>2.83</v>
      </c>
      <c r="K108" s="20">
        <v>0</v>
      </c>
      <c r="L108" s="22">
        <v>3</v>
      </c>
      <c r="M108" s="22">
        <v>783797.89</v>
      </c>
      <c r="N108" s="22">
        <v>157620.70000000001</v>
      </c>
    </row>
    <row r="109" spans="1:14">
      <c r="A109" s="16" t="s">
        <v>49</v>
      </c>
      <c r="B109" s="17">
        <v>45717</v>
      </c>
      <c r="C109" s="16" t="s">
        <v>28</v>
      </c>
      <c r="D109" s="16" t="s">
        <v>19</v>
      </c>
      <c r="E109" s="18">
        <v>64294.23</v>
      </c>
      <c r="F109" s="16">
        <v>6992</v>
      </c>
      <c r="G109" s="19">
        <v>0.13300000000000001</v>
      </c>
      <c r="H109" s="16">
        <v>14</v>
      </c>
      <c r="I109" s="18">
        <v>94.1</v>
      </c>
      <c r="J109" s="18">
        <v>0.25</v>
      </c>
      <c r="K109" s="16">
        <v>0</v>
      </c>
      <c r="L109" s="18">
        <v>3</v>
      </c>
      <c r="M109" s="18">
        <v>795153.84</v>
      </c>
      <c r="N109" s="18">
        <v>143194.21</v>
      </c>
    </row>
    <row r="110" spans="1:14">
      <c r="A110" s="20" t="s">
        <v>49</v>
      </c>
      <c r="B110" s="21">
        <v>45748</v>
      </c>
      <c r="C110" s="20" t="s">
        <v>28</v>
      </c>
      <c r="D110" s="20" t="s">
        <v>19</v>
      </c>
      <c r="E110" s="22">
        <v>31042.03</v>
      </c>
      <c r="F110" s="20">
        <v>7107</v>
      </c>
      <c r="G110" s="23">
        <v>5.0999999999999997E-2</v>
      </c>
      <c r="H110" s="20">
        <v>15</v>
      </c>
      <c r="I110" s="22">
        <v>87</v>
      </c>
      <c r="J110" s="22">
        <v>13.33</v>
      </c>
      <c r="K110" s="20">
        <v>0</v>
      </c>
      <c r="L110" s="22">
        <v>3.2</v>
      </c>
      <c r="M110" s="22">
        <v>665594.93999999994</v>
      </c>
      <c r="N110" s="22">
        <v>127597.34</v>
      </c>
    </row>
    <row r="111" spans="1:14">
      <c r="A111" s="16" t="s">
        <v>50</v>
      </c>
      <c r="B111" s="17">
        <v>45658</v>
      </c>
      <c r="C111" s="16" t="s">
        <v>16</v>
      </c>
      <c r="D111" s="16" t="s">
        <v>29</v>
      </c>
      <c r="E111" s="18">
        <v>75265.02</v>
      </c>
      <c r="F111" s="16">
        <v>6975</v>
      </c>
      <c r="G111" s="19">
        <v>0.157</v>
      </c>
      <c r="H111" s="16">
        <v>20</v>
      </c>
      <c r="I111" s="18">
        <v>73.8</v>
      </c>
      <c r="J111" s="18">
        <v>6.35</v>
      </c>
      <c r="K111" s="16">
        <v>1</v>
      </c>
      <c r="L111" s="18">
        <v>3.8</v>
      </c>
      <c r="M111" s="18">
        <v>709478.39</v>
      </c>
      <c r="N111" s="18">
        <v>71294.27</v>
      </c>
    </row>
    <row r="112" spans="1:14">
      <c r="A112" s="20" t="s">
        <v>50</v>
      </c>
      <c r="B112" s="21">
        <v>45689</v>
      </c>
      <c r="C112" s="20" t="s">
        <v>16</v>
      </c>
      <c r="D112" s="20" t="s">
        <v>29</v>
      </c>
      <c r="E112" s="22">
        <v>69411.7</v>
      </c>
      <c r="F112" s="20">
        <v>5493</v>
      </c>
      <c r="G112" s="23">
        <v>0.29199999999999998</v>
      </c>
      <c r="H112" s="20">
        <v>13</v>
      </c>
      <c r="I112" s="22">
        <v>86.5</v>
      </c>
      <c r="J112" s="22">
        <v>6.69</v>
      </c>
      <c r="K112" s="20">
        <v>0</v>
      </c>
      <c r="L112" s="22">
        <v>3.8</v>
      </c>
      <c r="M112" s="22">
        <v>664162.49</v>
      </c>
      <c r="N112" s="22">
        <v>98291.06</v>
      </c>
    </row>
    <row r="113" spans="1:14">
      <c r="A113" s="16" t="s">
        <v>50</v>
      </c>
      <c r="B113" s="17">
        <v>45717</v>
      </c>
      <c r="C113" s="16" t="s">
        <v>16</v>
      </c>
      <c r="D113" s="16" t="s">
        <v>29</v>
      </c>
      <c r="E113" s="18">
        <v>51056.15</v>
      </c>
      <c r="F113" s="16">
        <v>5686</v>
      </c>
      <c r="G113" s="19">
        <v>8.8999999999999996E-2</v>
      </c>
      <c r="H113" s="16">
        <v>13</v>
      </c>
      <c r="I113" s="18">
        <v>89.9</v>
      </c>
      <c r="J113" s="18">
        <v>1.28</v>
      </c>
      <c r="K113" s="16">
        <v>0</v>
      </c>
      <c r="L113" s="18">
        <v>4.2</v>
      </c>
      <c r="M113" s="18">
        <v>633494.21</v>
      </c>
      <c r="N113" s="18">
        <v>105739.47</v>
      </c>
    </row>
    <row r="114" spans="1:14">
      <c r="A114" s="20" t="s">
        <v>50</v>
      </c>
      <c r="B114" s="21">
        <v>45748</v>
      </c>
      <c r="C114" s="20" t="s">
        <v>16</v>
      </c>
      <c r="D114" s="20" t="s">
        <v>29</v>
      </c>
      <c r="E114" s="22">
        <v>52758.01</v>
      </c>
      <c r="F114" s="20">
        <v>4063</v>
      </c>
      <c r="G114" s="23">
        <v>5.7000000000000002E-2</v>
      </c>
      <c r="H114" s="20">
        <v>12</v>
      </c>
      <c r="I114" s="22">
        <v>91.7</v>
      </c>
      <c r="J114" s="22">
        <v>0.92</v>
      </c>
      <c r="K114" s="20">
        <v>0</v>
      </c>
      <c r="L114" s="22">
        <v>3.5</v>
      </c>
      <c r="M114" s="22">
        <v>713611.16</v>
      </c>
      <c r="N114" s="22">
        <v>129717.18</v>
      </c>
    </row>
    <row r="115" spans="1:14">
      <c r="A115" s="16" t="s">
        <v>51</v>
      </c>
      <c r="B115" s="17">
        <v>45658</v>
      </c>
      <c r="C115" s="16" t="s">
        <v>28</v>
      </c>
      <c r="D115" s="16" t="s">
        <v>29</v>
      </c>
      <c r="E115" s="18">
        <v>61426.04</v>
      </c>
      <c r="F115" s="16">
        <v>8966</v>
      </c>
      <c r="G115" s="19">
        <v>0.17299999999999999</v>
      </c>
      <c r="H115" s="16">
        <v>22</v>
      </c>
      <c r="I115" s="18">
        <v>76.400000000000006</v>
      </c>
      <c r="J115" s="18">
        <v>1.05</v>
      </c>
      <c r="K115" s="16">
        <v>0</v>
      </c>
      <c r="L115" s="18">
        <v>3.1</v>
      </c>
      <c r="M115" s="18">
        <v>778397.97</v>
      </c>
      <c r="N115" s="18">
        <v>120044.41</v>
      </c>
    </row>
    <row r="116" spans="1:14">
      <c r="A116" s="20" t="s">
        <v>51</v>
      </c>
      <c r="B116" s="21">
        <v>45689</v>
      </c>
      <c r="C116" s="20" t="s">
        <v>28</v>
      </c>
      <c r="D116" s="20" t="s">
        <v>29</v>
      </c>
      <c r="E116" s="22">
        <v>80176.34</v>
      </c>
      <c r="F116" s="20">
        <v>9489</v>
      </c>
      <c r="G116" s="23">
        <v>0.14199999999999999</v>
      </c>
      <c r="H116" s="20">
        <v>22</v>
      </c>
      <c r="I116" s="22">
        <v>94.3</v>
      </c>
      <c r="J116" s="22">
        <v>2.67</v>
      </c>
      <c r="K116" s="20">
        <v>0</v>
      </c>
      <c r="L116" s="22">
        <v>3.5</v>
      </c>
      <c r="M116" s="22">
        <v>873380.02</v>
      </c>
      <c r="N116" s="22">
        <v>149734.76</v>
      </c>
    </row>
    <row r="117" spans="1:14">
      <c r="A117" s="16" t="s">
        <v>51</v>
      </c>
      <c r="B117" s="17">
        <v>45717</v>
      </c>
      <c r="C117" s="16" t="s">
        <v>28</v>
      </c>
      <c r="D117" s="16" t="s">
        <v>29</v>
      </c>
      <c r="E117" s="18">
        <v>33605.18</v>
      </c>
      <c r="F117" s="16">
        <v>9225</v>
      </c>
      <c r="G117" s="19">
        <v>0.159</v>
      </c>
      <c r="H117" s="16">
        <v>23</v>
      </c>
      <c r="I117" s="18">
        <v>88.4</v>
      </c>
      <c r="J117" s="18">
        <v>5.91</v>
      </c>
      <c r="K117" s="16">
        <v>0</v>
      </c>
      <c r="L117" s="18">
        <v>2.8</v>
      </c>
      <c r="M117" s="18">
        <v>697287.9</v>
      </c>
      <c r="N117" s="18">
        <v>128208.33</v>
      </c>
    </row>
    <row r="118" spans="1:14">
      <c r="A118" s="20" t="s">
        <v>51</v>
      </c>
      <c r="B118" s="21">
        <v>45748</v>
      </c>
      <c r="C118" s="20" t="s">
        <v>28</v>
      </c>
      <c r="D118" s="20" t="s">
        <v>29</v>
      </c>
      <c r="E118" s="22">
        <v>25990.54</v>
      </c>
      <c r="F118" s="20">
        <v>9249</v>
      </c>
      <c r="G118" s="23">
        <v>0.13900000000000001</v>
      </c>
      <c r="H118" s="20">
        <v>23</v>
      </c>
      <c r="I118" s="22">
        <v>92.5</v>
      </c>
      <c r="J118" s="22">
        <v>6.37</v>
      </c>
      <c r="K118" s="20">
        <v>0</v>
      </c>
      <c r="L118" s="22">
        <v>3.3</v>
      </c>
      <c r="M118" s="22">
        <v>718074.79</v>
      </c>
      <c r="N118" s="22">
        <v>115819.87</v>
      </c>
    </row>
    <row r="119" spans="1:14">
      <c r="A119" s="16" t="s">
        <v>52</v>
      </c>
      <c r="B119" s="17">
        <v>45658</v>
      </c>
      <c r="C119" s="16" t="s">
        <v>28</v>
      </c>
      <c r="D119" s="16" t="s">
        <v>17</v>
      </c>
      <c r="E119" s="18">
        <v>43685.14</v>
      </c>
      <c r="F119" s="16">
        <v>7821</v>
      </c>
      <c r="G119" s="19">
        <v>0.19</v>
      </c>
      <c r="H119" s="16">
        <v>17</v>
      </c>
      <c r="I119" s="18">
        <v>91</v>
      </c>
      <c r="J119" s="18">
        <v>2.4900000000000002</v>
      </c>
      <c r="K119" s="16">
        <v>1</v>
      </c>
      <c r="L119" s="18">
        <v>4.7</v>
      </c>
      <c r="M119" s="18">
        <v>714942.43</v>
      </c>
      <c r="N119" s="18">
        <v>94697.71</v>
      </c>
    </row>
    <row r="120" spans="1:14">
      <c r="A120" s="20" t="s">
        <v>52</v>
      </c>
      <c r="B120" s="21">
        <v>45689</v>
      </c>
      <c r="C120" s="20" t="s">
        <v>28</v>
      </c>
      <c r="D120" s="20" t="s">
        <v>17</v>
      </c>
      <c r="E120" s="22">
        <v>57360.01</v>
      </c>
      <c r="F120" s="20">
        <v>8434</v>
      </c>
      <c r="G120" s="23">
        <v>0.151</v>
      </c>
      <c r="H120" s="20">
        <v>19</v>
      </c>
      <c r="I120" s="22">
        <v>84.1</v>
      </c>
      <c r="J120" s="22">
        <v>1.56</v>
      </c>
      <c r="K120" s="20">
        <v>0</v>
      </c>
      <c r="L120" s="22">
        <v>4.7</v>
      </c>
      <c r="M120" s="22">
        <v>820519.04</v>
      </c>
      <c r="N120" s="22">
        <v>99035.88</v>
      </c>
    </row>
    <row r="121" spans="1:14">
      <c r="A121" s="16" t="s">
        <v>52</v>
      </c>
      <c r="B121" s="17">
        <v>45717</v>
      </c>
      <c r="C121" s="16" t="s">
        <v>28</v>
      </c>
      <c r="D121" s="16" t="s">
        <v>17</v>
      </c>
      <c r="E121" s="18">
        <v>42415.47</v>
      </c>
      <c r="F121" s="16">
        <v>8512</v>
      </c>
      <c r="G121" s="19">
        <v>0.13300000000000001</v>
      </c>
      <c r="H121" s="16">
        <v>18</v>
      </c>
      <c r="I121" s="18">
        <v>96.8</v>
      </c>
      <c r="J121" s="18">
        <v>14.95</v>
      </c>
      <c r="K121" s="16">
        <v>0</v>
      </c>
      <c r="L121" s="18">
        <v>4.5999999999999996</v>
      </c>
      <c r="M121" s="18">
        <v>684217.32</v>
      </c>
      <c r="N121" s="18">
        <v>136217.19</v>
      </c>
    </row>
    <row r="122" spans="1:14">
      <c r="A122" s="20" t="s">
        <v>52</v>
      </c>
      <c r="B122" s="21">
        <v>45748</v>
      </c>
      <c r="C122" s="20" t="s">
        <v>28</v>
      </c>
      <c r="D122" s="20" t="s">
        <v>17</v>
      </c>
      <c r="E122" s="22">
        <v>54968.98</v>
      </c>
      <c r="F122" s="20">
        <v>7816</v>
      </c>
      <c r="G122" s="23">
        <v>0.23200000000000001</v>
      </c>
      <c r="H122" s="20">
        <v>19</v>
      </c>
      <c r="I122" s="22">
        <v>95.7</v>
      </c>
      <c r="J122" s="22">
        <v>7.85</v>
      </c>
      <c r="K122" s="20">
        <v>0</v>
      </c>
      <c r="L122" s="22">
        <v>4.7</v>
      </c>
      <c r="M122" s="22">
        <v>735480.19</v>
      </c>
      <c r="N122" s="22">
        <v>88342.11</v>
      </c>
    </row>
    <row r="123" spans="1:14">
      <c r="A123" s="16" t="s">
        <v>53</v>
      </c>
      <c r="B123" s="17">
        <v>45658</v>
      </c>
      <c r="C123" s="16" t="s">
        <v>21</v>
      </c>
      <c r="D123" s="16" t="s">
        <v>19</v>
      </c>
      <c r="E123" s="18">
        <v>43896.13</v>
      </c>
      <c r="F123" s="16">
        <v>3853</v>
      </c>
      <c r="G123" s="19">
        <v>8.7999999999999995E-2</v>
      </c>
      <c r="H123" s="16">
        <v>13</v>
      </c>
      <c r="I123" s="18">
        <v>83</v>
      </c>
      <c r="J123" s="18">
        <v>6.8</v>
      </c>
      <c r="K123" s="16">
        <v>0</v>
      </c>
      <c r="L123" s="18">
        <v>4.4000000000000004</v>
      </c>
      <c r="M123" s="18">
        <v>509484.81</v>
      </c>
      <c r="N123" s="18">
        <v>85742.36</v>
      </c>
    </row>
    <row r="124" spans="1:14">
      <c r="A124" s="20" t="s">
        <v>53</v>
      </c>
      <c r="B124" s="21">
        <v>45689</v>
      </c>
      <c r="C124" s="20" t="s">
        <v>21</v>
      </c>
      <c r="D124" s="20" t="s">
        <v>19</v>
      </c>
      <c r="E124" s="22">
        <v>83044.17</v>
      </c>
      <c r="F124" s="20">
        <v>3694</v>
      </c>
      <c r="G124" s="23">
        <v>0</v>
      </c>
      <c r="H124" s="20">
        <v>14</v>
      </c>
      <c r="I124" s="22">
        <v>89.4</v>
      </c>
      <c r="J124" s="22">
        <v>2.2000000000000002</v>
      </c>
      <c r="K124" s="20">
        <v>0</v>
      </c>
      <c r="L124" s="22">
        <v>3.7</v>
      </c>
      <c r="M124" s="22">
        <v>654317.09</v>
      </c>
      <c r="N124" s="22">
        <v>121446.89</v>
      </c>
    </row>
    <row r="125" spans="1:14">
      <c r="A125" s="16" t="s">
        <v>53</v>
      </c>
      <c r="B125" s="17">
        <v>45717</v>
      </c>
      <c r="C125" s="16" t="s">
        <v>21</v>
      </c>
      <c r="D125" s="16" t="s">
        <v>19</v>
      </c>
      <c r="E125" s="18">
        <v>48396.13</v>
      </c>
      <c r="F125" s="16">
        <v>4423</v>
      </c>
      <c r="G125" s="19">
        <v>6.9000000000000006E-2</v>
      </c>
      <c r="H125" s="16">
        <v>15</v>
      </c>
      <c r="I125" s="18">
        <v>85.7</v>
      </c>
      <c r="J125" s="18">
        <v>1.88</v>
      </c>
      <c r="K125" s="16">
        <v>0</v>
      </c>
      <c r="L125" s="18">
        <v>3.9</v>
      </c>
      <c r="M125" s="18">
        <v>557487.26</v>
      </c>
      <c r="N125" s="18">
        <v>76432.19</v>
      </c>
    </row>
    <row r="126" spans="1:14">
      <c r="A126" s="20" t="s">
        <v>53</v>
      </c>
      <c r="B126" s="21">
        <v>45748</v>
      </c>
      <c r="C126" s="20" t="s">
        <v>21</v>
      </c>
      <c r="D126" s="20" t="s">
        <v>19</v>
      </c>
      <c r="E126" s="22">
        <v>19063.48</v>
      </c>
      <c r="F126" s="20">
        <v>1906</v>
      </c>
      <c r="G126" s="23">
        <v>0.216</v>
      </c>
      <c r="H126" s="20">
        <v>10</v>
      </c>
      <c r="I126" s="22">
        <v>97.8</v>
      </c>
      <c r="J126" s="22">
        <v>15.79</v>
      </c>
      <c r="K126" s="20">
        <v>0</v>
      </c>
      <c r="L126" s="22">
        <v>4.4000000000000004</v>
      </c>
      <c r="M126" s="22">
        <v>441275.42</v>
      </c>
      <c r="N126" s="22">
        <v>58234.87</v>
      </c>
    </row>
    <row r="127" spans="1:14">
      <c r="A127" s="16" t="s">
        <v>54</v>
      </c>
      <c r="B127" s="17">
        <v>45658</v>
      </c>
      <c r="C127" s="16" t="s">
        <v>25</v>
      </c>
      <c r="D127" s="16" t="s">
        <v>19</v>
      </c>
      <c r="E127" s="18">
        <v>61541.21</v>
      </c>
      <c r="F127" s="16">
        <v>10396</v>
      </c>
      <c r="G127" s="19">
        <v>0.123</v>
      </c>
      <c r="H127" s="16">
        <v>25</v>
      </c>
      <c r="I127" s="18">
        <v>88.1</v>
      </c>
      <c r="J127" s="18">
        <v>2.34</v>
      </c>
      <c r="K127" s="16">
        <v>1</v>
      </c>
      <c r="L127" s="18">
        <v>4.8</v>
      </c>
      <c r="M127" s="18">
        <v>914544.17</v>
      </c>
      <c r="N127" s="18">
        <v>79831.73</v>
      </c>
    </row>
    <row r="128" spans="1:14">
      <c r="A128" s="20" t="s">
        <v>54</v>
      </c>
      <c r="B128" s="21">
        <v>45689</v>
      </c>
      <c r="C128" s="20" t="s">
        <v>25</v>
      </c>
      <c r="D128" s="20" t="s">
        <v>19</v>
      </c>
      <c r="E128" s="22">
        <v>44747</v>
      </c>
      <c r="F128" s="20">
        <v>11076</v>
      </c>
      <c r="G128" s="23">
        <v>0.17599999999999999</v>
      </c>
      <c r="H128" s="20">
        <v>27</v>
      </c>
      <c r="I128" s="22">
        <v>98.3</v>
      </c>
      <c r="J128" s="22">
        <v>0.54</v>
      </c>
      <c r="K128" s="20">
        <v>0</v>
      </c>
      <c r="L128" s="22">
        <v>4.4000000000000004</v>
      </c>
      <c r="M128" s="22">
        <v>842439.67</v>
      </c>
      <c r="N128" s="22">
        <v>169983.63</v>
      </c>
    </row>
    <row r="129" spans="1:14">
      <c r="A129" s="16" t="s">
        <v>54</v>
      </c>
      <c r="B129" s="17">
        <v>45717</v>
      </c>
      <c r="C129" s="16" t="s">
        <v>25</v>
      </c>
      <c r="D129" s="16" t="s">
        <v>19</v>
      </c>
      <c r="E129" s="18">
        <v>56517.9</v>
      </c>
      <c r="F129" s="16">
        <v>9574</v>
      </c>
      <c r="G129" s="19">
        <v>0.20399999999999999</v>
      </c>
      <c r="H129" s="16">
        <v>20</v>
      </c>
      <c r="I129" s="18">
        <v>88.2</v>
      </c>
      <c r="J129" s="18">
        <v>5.37</v>
      </c>
      <c r="K129" s="16">
        <v>1</v>
      </c>
      <c r="L129" s="18">
        <v>4.9000000000000004</v>
      </c>
      <c r="M129" s="18">
        <v>842157.92</v>
      </c>
      <c r="N129" s="18">
        <v>107348.22</v>
      </c>
    </row>
    <row r="130" spans="1:14">
      <c r="A130" s="20" t="s">
        <v>54</v>
      </c>
      <c r="B130" s="21">
        <v>45748</v>
      </c>
      <c r="C130" s="20" t="s">
        <v>25</v>
      </c>
      <c r="D130" s="20" t="s">
        <v>19</v>
      </c>
      <c r="E130" s="22">
        <v>37828.5</v>
      </c>
      <c r="F130" s="20">
        <v>8221</v>
      </c>
      <c r="G130" s="23">
        <v>9.6000000000000002E-2</v>
      </c>
      <c r="H130" s="20">
        <v>19</v>
      </c>
      <c r="I130" s="22">
        <v>81.5</v>
      </c>
      <c r="J130" s="22">
        <v>3.19</v>
      </c>
      <c r="K130" s="20">
        <v>0</v>
      </c>
      <c r="L130" s="22">
        <v>4.8</v>
      </c>
      <c r="M130" s="22">
        <v>697155.3</v>
      </c>
      <c r="N130" s="22">
        <v>136408.54</v>
      </c>
    </row>
    <row r="131" spans="1:14">
      <c r="A131" s="16" t="s">
        <v>55</v>
      </c>
      <c r="B131" s="17">
        <v>45658</v>
      </c>
      <c r="C131" s="16" t="s">
        <v>16</v>
      </c>
      <c r="D131" s="16" t="s">
        <v>19</v>
      </c>
      <c r="E131" s="18">
        <v>66250.53</v>
      </c>
      <c r="F131" s="16">
        <v>10618</v>
      </c>
      <c r="G131" s="19">
        <v>0.14199999999999999</v>
      </c>
      <c r="H131" s="16">
        <v>27</v>
      </c>
      <c r="I131" s="18">
        <v>88.3</v>
      </c>
      <c r="J131" s="18">
        <v>1.1000000000000001</v>
      </c>
      <c r="K131" s="16">
        <v>1</v>
      </c>
      <c r="L131" s="18">
        <v>4.4000000000000004</v>
      </c>
      <c r="M131" s="18">
        <v>849018.3</v>
      </c>
      <c r="N131" s="18">
        <v>149035.13</v>
      </c>
    </row>
    <row r="132" spans="1:14">
      <c r="A132" s="20" t="s">
        <v>55</v>
      </c>
      <c r="B132" s="21">
        <v>45689</v>
      </c>
      <c r="C132" s="20" t="s">
        <v>16</v>
      </c>
      <c r="D132" s="20" t="s">
        <v>19</v>
      </c>
      <c r="E132" s="22">
        <v>68410.929999999993</v>
      </c>
      <c r="F132" s="20">
        <v>10596</v>
      </c>
      <c r="G132" s="23">
        <v>0.20699999999999999</v>
      </c>
      <c r="H132" s="20">
        <v>25</v>
      </c>
      <c r="I132" s="22">
        <v>81.2</v>
      </c>
      <c r="J132" s="22">
        <v>0.21</v>
      </c>
      <c r="K132" s="20">
        <v>0</v>
      </c>
      <c r="L132" s="22">
        <v>4</v>
      </c>
      <c r="M132" s="22">
        <v>801830.35</v>
      </c>
      <c r="N132" s="22">
        <v>114875.32</v>
      </c>
    </row>
    <row r="133" spans="1:14">
      <c r="A133" s="16" t="s">
        <v>55</v>
      </c>
      <c r="B133" s="17">
        <v>45717</v>
      </c>
      <c r="C133" s="16" t="s">
        <v>16</v>
      </c>
      <c r="D133" s="16" t="s">
        <v>19</v>
      </c>
      <c r="E133" s="18">
        <v>50735.63</v>
      </c>
      <c r="F133" s="16">
        <v>9619</v>
      </c>
      <c r="G133" s="19">
        <v>0.14399999999999999</v>
      </c>
      <c r="H133" s="16">
        <v>19</v>
      </c>
      <c r="I133" s="18">
        <v>93.8</v>
      </c>
      <c r="J133" s="18">
        <v>5.12</v>
      </c>
      <c r="K133" s="16">
        <v>1</v>
      </c>
      <c r="L133" s="18">
        <v>4.5</v>
      </c>
      <c r="M133" s="18">
        <v>725235.28</v>
      </c>
      <c r="N133" s="18">
        <v>121632.24</v>
      </c>
    </row>
    <row r="134" spans="1:14">
      <c r="A134" s="20" t="s">
        <v>55</v>
      </c>
      <c r="B134" s="21">
        <v>45748</v>
      </c>
      <c r="C134" s="20" t="s">
        <v>16</v>
      </c>
      <c r="D134" s="20" t="s">
        <v>19</v>
      </c>
      <c r="E134" s="22">
        <v>66455.8</v>
      </c>
      <c r="F134" s="20">
        <v>10836</v>
      </c>
      <c r="G134" s="23">
        <v>8.8999999999999996E-2</v>
      </c>
      <c r="H134" s="20">
        <v>25</v>
      </c>
      <c r="I134" s="22">
        <v>85</v>
      </c>
      <c r="J134" s="22">
        <v>9.77</v>
      </c>
      <c r="K134" s="20">
        <v>0</v>
      </c>
      <c r="L134" s="22">
        <v>4.5</v>
      </c>
      <c r="M134" s="22">
        <v>811452.72</v>
      </c>
      <c r="N134" s="22">
        <v>131325.67000000001</v>
      </c>
    </row>
    <row r="135" spans="1:14">
      <c r="A135" s="16" t="s">
        <v>56</v>
      </c>
      <c r="B135" s="17">
        <v>45658</v>
      </c>
      <c r="C135" s="16" t="s">
        <v>21</v>
      </c>
      <c r="D135" s="16" t="s">
        <v>19</v>
      </c>
      <c r="E135" s="18">
        <v>70276.28</v>
      </c>
      <c r="F135" s="16">
        <v>3043</v>
      </c>
      <c r="G135" s="19">
        <v>7.9000000000000001E-2</v>
      </c>
      <c r="H135" s="16">
        <v>9</v>
      </c>
      <c r="I135" s="18">
        <v>87.9</v>
      </c>
      <c r="J135" s="18">
        <v>3.77</v>
      </c>
      <c r="K135" s="16">
        <v>0</v>
      </c>
      <c r="L135" s="18">
        <v>4.4000000000000004</v>
      </c>
      <c r="M135" s="18">
        <v>527300.13</v>
      </c>
      <c r="N135" s="18">
        <v>84197.87</v>
      </c>
    </row>
    <row r="136" spans="1:14">
      <c r="A136" s="20" t="s">
        <v>56</v>
      </c>
      <c r="B136" s="21">
        <v>45689</v>
      </c>
      <c r="C136" s="20" t="s">
        <v>21</v>
      </c>
      <c r="D136" s="20" t="s">
        <v>19</v>
      </c>
      <c r="E136" s="22">
        <v>22071.64</v>
      </c>
      <c r="F136" s="20">
        <v>1814</v>
      </c>
      <c r="G136" s="23">
        <v>0.19600000000000001</v>
      </c>
      <c r="H136" s="20">
        <v>8</v>
      </c>
      <c r="I136" s="22">
        <v>81.099999999999994</v>
      </c>
      <c r="J136" s="22">
        <v>0.78</v>
      </c>
      <c r="K136" s="20">
        <v>0</v>
      </c>
      <c r="L136" s="24"/>
      <c r="M136" s="22">
        <v>400831.65</v>
      </c>
      <c r="N136" s="22">
        <v>70979.31</v>
      </c>
    </row>
    <row r="137" spans="1:14">
      <c r="A137" s="16" t="s">
        <v>56</v>
      </c>
      <c r="B137" s="17">
        <v>45717</v>
      </c>
      <c r="C137" s="16" t="s">
        <v>21</v>
      </c>
      <c r="D137" s="16" t="s">
        <v>19</v>
      </c>
      <c r="E137" s="18">
        <v>52285.45</v>
      </c>
      <c r="F137" s="16">
        <v>3618</v>
      </c>
      <c r="G137" s="19">
        <v>8.5999999999999993E-2</v>
      </c>
      <c r="H137" s="16">
        <v>11</v>
      </c>
      <c r="I137" s="18">
        <v>95.6</v>
      </c>
      <c r="J137" s="18">
        <v>5.17</v>
      </c>
      <c r="K137" s="16">
        <v>1</v>
      </c>
      <c r="L137" s="18">
        <v>4.4000000000000004</v>
      </c>
      <c r="M137" s="18">
        <v>593247.25</v>
      </c>
      <c r="N137" s="18">
        <v>81240.289999999994</v>
      </c>
    </row>
    <row r="138" spans="1:14">
      <c r="A138" s="20" t="s">
        <v>56</v>
      </c>
      <c r="B138" s="21">
        <v>45748</v>
      </c>
      <c r="C138" s="20" t="s">
        <v>21</v>
      </c>
      <c r="D138" s="20" t="s">
        <v>19</v>
      </c>
      <c r="E138" s="22">
        <v>70366.759999999995</v>
      </c>
      <c r="F138" s="20">
        <v>1963</v>
      </c>
      <c r="G138" s="23">
        <v>0.182</v>
      </c>
      <c r="H138" s="20">
        <v>8</v>
      </c>
      <c r="I138" s="22">
        <v>89.8</v>
      </c>
      <c r="J138" s="22">
        <v>3.2</v>
      </c>
      <c r="K138" s="20">
        <v>0</v>
      </c>
      <c r="L138" s="22">
        <v>4.5999999999999996</v>
      </c>
      <c r="M138" s="22">
        <v>529075.94999999995</v>
      </c>
      <c r="N138" s="22">
        <v>95978.83</v>
      </c>
    </row>
    <row r="139" spans="1:14">
      <c r="A139" s="16" t="s">
        <v>57</v>
      </c>
      <c r="B139" s="17">
        <v>45658</v>
      </c>
      <c r="C139" s="16" t="s">
        <v>25</v>
      </c>
      <c r="D139" s="16" t="s">
        <v>17</v>
      </c>
      <c r="E139" s="18">
        <v>71320.66</v>
      </c>
      <c r="F139" s="16">
        <v>7888</v>
      </c>
      <c r="G139" s="19">
        <v>4.8000000000000001E-2</v>
      </c>
      <c r="H139" s="16">
        <v>20</v>
      </c>
      <c r="I139" s="18">
        <v>78.099999999999994</v>
      </c>
      <c r="J139" s="18">
        <v>3.4</v>
      </c>
      <c r="K139" s="16">
        <v>0</v>
      </c>
      <c r="L139" s="24"/>
      <c r="M139" s="18">
        <v>633638.03</v>
      </c>
      <c r="N139" s="18">
        <v>99402.01</v>
      </c>
    </row>
    <row r="140" spans="1:14">
      <c r="A140" s="20" t="s">
        <v>57</v>
      </c>
      <c r="B140" s="21">
        <v>45689</v>
      </c>
      <c r="C140" s="20" t="s">
        <v>25</v>
      </c>
      <c r="D140" s="20" t="s">
        <v>17</v>
      </c>
      <c r="E140" s="22">
        <v>75109.67</v>
      </c>
      <c r="F140" s="20">
        <v>6244</v>
      </c>
      <c r="G140" s="23">
        <v>7.9000000000000001E-2</v>
      </c>
      <c r="H140" s="20">
        <v>15</v>
      </c>
      <c r="I140" s="22">
        <v>96.3</v>
      </c>
      <c r="J140" s="22">
        <v>7.38</v>
      </c>
      <c r="K140" s="20">
        <v>0</v>
      </c>
      <c r="L140" s="22">
        <v>3.7</v>
      </c>
      <c r="M140" s="22">
        <v>743348.84</v>
      </c>
      <c r="N140" s="22">
        <v>104186.09</v>
      </c>
    </row>
    <row r="141" spans="1:14">
      <c r="A141" s="16" t="s">
        <v>57</v>
      </c>
      <c r="B141" s="17">
        <v>45717</v>
      </c>
      <c r="C141" s="16" t="s">
        <v>25</v>
      </c>
      <c r="D141" s="16" t="s">
        <v>17</v>
      </c>
      <c r="E141" s="18">
        <v>69779</v>
      </c>
      <c r="F141" s="16">
        <v>6544</v>
      </c>
      <c r="G141" s="19">
        <v>0.152</v>
      </c>
      <c r="H141" s="16">
        <v>18</v>
      </c>
      <c r="I141" s="18">
        <v>90.2</v>
      </c>
      <c r="J141" s="18">
        <v>0.85</v>
      </c>
      <c r="K141" s="16">
        <v>1</v>
      </c>
      <c r="L141" s="18">
        <v>3.3</v>
      </c>
      <c r="M141" s="18">
        <v>758827.64</v>
      </c>
      <c r="N141" s="18">
        <v>161439.48000000001</v>
      </c>
    </row>
    <row r="142" spans="1:14">
      <c r="A142" s="20" t="s">
        <v>57</v>
      </c>
      <c r="B142" s="21">
        <v>45748</v>
      </c>
      <c r="C142" s="20" t="s">
        <v>25</v>
      </c>
      <c r="D142" s="20" t="s">
        <v>17</v>
      </c>
      <c r="E142" s="22">
        <v>44211.95</v>
      </c>
      <c r="F142" s="20">
        <v>5465</v>
      </c>
      <c r="G142" s="23">
        <v>0.187</v>
      </c>
      <c r="H142" s="20">
        <v>12</v>
      </c>
      <c r="I142" s="22">
        <v>90</v>
      </c>
      <c r="J142" s="22">
        <v>2.89</v>
      </c>
      <c r="K142" s="20">
        <v>0</v>
      </c>
      <c r="L142" s="22">
        <v>3.6</v>
      </c>
      <c r="M142" s="22">
        <v>646559.71</v>
      </c>
      <c r="N142" s="22">
        <v>97981.75</v>
      </c>
    </row>
    <row r="143" spans="1:14">
      <c r="A143" s="16" t="s">
        <v>58</v>
      </c>
      <c r="B143" s="17">
        <v>45658</v>
      </c>
      <c r="C143" s="16" t="s">
        <v>28</v>
      </c>
      <c r="D143" s="16" t="s">
        <v>19</v>
      </c>
      <c r="E143" s="18">
        <v>51430.31</v>
      </c>
      <c r="F143" s="16">
        <v>6427</v>
      </c>
      <c r="G143" s="19">
        <v>0.23400000000000001</v>
      </c>
      <c r="H143" s="16">
        <v>14</v>
      </c>
      <c r="I143" s="18">
        <v>88.8</v>
      </c>
      <c r="J143" s="18">
        <v>0.77</v>
      </c>
      <c r="K143" s="16">
        <v>0</v>
      </c>
      <c r="L143" s="18">
        <v>4.0999999999999996</v>
      </c>
      <c r="M143" s="18">
        <v>715890.53</v>
      </c>
      <c r="N143" s="18">
        <v>109032.15</v>
      </c>
    </row>
    <row r="144" spans="1:14">
      <c r="A144" s="20" t="s">
        <v>58</v>
      </c>
      <c r="B144" s="21">
        <v>45689</v>
      </c>
      <c r="C144" s="20" t="s">
        <v>28</v>
      </c>
      <c r="D144" s="20" t="s">
        <v>19</v>
      </c>
      <c r="E144" s="22">
        <v>45706.49</v>
      </c>
      <c r="F144" s="20">
        <v>6704</v>
      </c>
      <c r="G144" s="23">
        <v>3.7999999999999999E-2</v>
      </c>
      <c r="H144" s="20">
        <v>15</v>
      </c>
      <c r="I144" s="22">
        <v>94.2</v>
      </c>
      <c r="J144" s="22">
        <v>2.92</v>
      </c>
      <c r="K144" s="20">
        <v>0</v>
      </c>
      <c r="L144" s="22">
        <v>4.2</v>
      </c>
      <c r="M144" s="22">
        <v>715097.57</v>
      </c>
      <c r="N144" s="22">
        <v>151875.85999999999</v>
      </c>
    </row>
    <row r="145" spans="1:14">
      <c r="A145" s="16" t="s">
        <v>58</v>
      </c>
      <c r="B145" s="17">
        <v>45717</v>
      </c>
      <c r="C145" s="16" t="s">
        <v>28</v>
      </c>
      <c r="D145" s="16" t="s">
        <v>19</v>
      </c>
      <c r="E145" s="18">
        <v>44034.6</v>
      </c>
      <c r="F145" s="16">
        <v>5645</v>
      </c>
      <c r="G145" s="19">
        <v>6.9000000000000006E-2</v>
      </c>
      <c r="H145" s="16">
        <v>18</v>
      </c>
      <c r="I145" s="18">
        <v>88.5</v>
      </c>
      <c r="J145" s="18">
        <v>3.07</v>
      </c>
      <c r="K145" s="16">
        <v>0</v>
      </c>
      <c r="L145" s="18">
        <v>3.8</v>
      </c>
      <c r="M145" s="18">
        <v>682639.28</v>
      </c>
      <c r="N145" s="18">
        <v>77557.53</v>
      </c>
    </row>
    <row r="146" spans="1:14">
      <c r="A146" s="20" t="s">
        <v>58</v>
      </c>
      <c r="B146" s="21">
        <v>45748</v>
      </c>
      <c r="C146" s="20" t="s">
        <v>28</v>
      </c>
      <c r="D146" s="20" t="s">
        <v>19</v>
      </c>
      <c r="E146" s="22">
        <v>50198.12</v>
      </c>
      <c r="F146" s="20">
        <v>6089</v>
      </c>
      <c r="G146" s="23">
        <v>0.182</v>
      </c>
      <c r="H146" s="20">
        <v>19</v>
      </c>
      <c r="I146" s="22">
        <v>94</v>
      </c>
      <c r="J146" s="22">
        <v>9.6999999999999993</v>
      </c>
      <c r="K146" s="20">
        <v>0</v>
      </c>
      <c r="L146" s="22">
        <v>3.9</v>
      </c>
      <c r="M146" s="22">
        <v>695098.51</v>
      </c>
      <c r="N146" s="22">
        <v>108192.75</v>
      </c>
    </row>
    <row r="147" spans="1:14">
      <c r="A147" s="16" t="s">
        <v>59</v>
      </c>
      <c r="B147" s="17">
        <v>45658</v>
      </c>
      <c r="C147" s="16" t="s">
        <v>21</v>
      </c>
      <c r="D147" s="16" t="s">
        <v>17</v>
      </c>
      <c r="E147" s="18">
        <v>70488.2</v>
      </c>
      <c r="F147" s="16">
        <v>4312</v>
      </c>
      <c r="G147" s="19">
        <v>0.16900000000000001</v>
      </c>
      <c r="H147" s="16">
        <v>12</v>
      </c>
      <c r="I147" s="18">
        <v>90.2</v>
      </c>
      <c r="J147" s="18">
        <v>3.71</v>
      </c>
      <c r="K147" s="16">
        <v>0</v>
      </c>
      <c r="L147" s="18">
        <v>3.2</v>
      </c>
      <c r="M147" s="18">
        <v>577732.56999999995</v>
      </c>
      <c r="N147" s="18">
        <v>93804.27</v>
      </c>
    </row>
    <row r="148" spans="1:14">
      <c r="A148" s="20" t="s">
        <v>59</v>
      </c>
      <c r="B148" s="21">
        <v>45689</v>
      </c>
      <c r="C148" s="20" t="s">
        <v>21</v>
      </c>
      <c r="D148" s="20" t="s">
        <v>17</v>
      </c>
      <c r="E148" s="22">
        <v>50909.27</v>
      </c>
      <c r="F148" s="20">
        <v>3152</v>
      </c>
      <c r="G148" s="23">
        <v>0.06</v>
      </c>
      <c r="H148" s="20">
        <v>13</v>
      </c>
      <c r="I148" s="22">
        <v>93.7</v>
      </c>
      <c r="J148" s="22">
        <v>10.79</v>
      </c>
      <c r="K148" s="20">
        <v>0</v>
      </c>
      <c r="L148" s="22">
        <v>3.5</v>
      </c>
      <c r="M148" s="22">
        <v>537058.32999999996</v>
      </c>
      <c r="N148" s="22">
        <v>93555.71</v>
      </c>
    </row>
    <row r="149" spans="1:14">
      <c r="A149" s="16" t="s">
        <v>59</v>
      </c>
      <c r="B149" s="17">
        <v>45717</v>
      </c>
      <c r="C149" s="16" t="s">
        <v>21</v>
      </c>
      <c r="D149" s="16" t="s">
        <v>17</v>
      </c>
      <c r="E149" s="18">
        <v>53351.7</v>
      </c>
      <c r="F149" s="16">
        <v>4259</v>
      </c>
      <c r="G149" s="19">
        <v>0.156</v>
      </c>
      <c r="H149" s="16">
        <v>15</v>
      </c>
      <c r="I149" s="18">
        <v>93.7</v>
      </c>
      <c r="J149" s="18">
        <v>6.03</v>
      </c>
      <c r="K149" s="16">
        <v>0</v>
      </c>
      <c r="L149" s="18">
        <v>3.4</v>
      </c>
      <c r="M149" s="18">
        <v>601568.87</v>
      </c>
      <c r="N149" s="18">
        <v>91634.82</v>
      </c>
    </row>
    <row r="150" spans="1:14">
      <c r="A150" s="20" t="s">
        <v>59</v>
      </c>
      <c r="B150" s="21">
        <v>45748</v>
      </c>
      <c r="C150" s="20" t="s">
        <v>21</v>
      </c>
      <c r="D150" s="20" t="s">
        <v>17</v>
      </c>
      <c r="E150" s="22">
        <v>60322.400000000001</v>
      </c>
      <c r="F150" s="20">
        <v>3350</v>
      </c>
      <c r="G150" s="23">
        <v>0.108</v>
      </c>
      <c r="H150" s="20">
        <v>12</v>
      </c>
      <c r="I150" s="22">
        <v>89.4</v>
      </c>
      <c r="J150" s="22">
        <v>4.92</v>
      </c>
      <c r="K150" s="20">
        <v>0</v>
      </c>
      <c r="L150" s="22">
        <v>3.4</v>
      </c>
      <c r="M150" s="22">
        <v>570964.84</v>
      </c>
      <c r="N150" s="22">
        <v>81331.070000000007</v>
      </c>
    </row>
    <row r="151" spans="1:14">
      <c r="A151" s="16" t="s">
        <v>60</v>
      </c>
      <c r="B151" s="17">
        <v>45658</v>
      </c>
      <c r="C151" s="16" t="s">
        <v>25</v>
      </c>
      <c r="D151" s="16" t="s">
        <v>29</v>
      </c>
      <c r="E151" s="18">
        <v>51575.68</v>
      </c>
      <c r="F151" s="16">
        <v>5329</v>
      </c>
      <c r="G151" s="19">
        <v>4.7E-2</v>
      </c>
      <c r="H151" s="16">
        <v>17</v>
      </c>
      <c r="I151" s="18">
        <v>88.1</v>
      </c>
      <c r="J151" s="18">
        <v>19.78</v>
      </c>
      <c r="K151" s="16">
        <v>0</v>
      </c>
      <c r="L151" s="18">
        <v>3.8</v>
      </c>
      <c r="M151" s="18">
        <v>614024.91</v>
      </c>
      <c r="N151" s="18">
        <v>84828.93</v>
      </c>
    </row>
    <row r="152" spans="1:14">
      <c r="A152" s="20" t="s">
        <v>60</v>
      </c>
      <c r="B152" s="21">
        <v>45689</v>
      </c>
      <c r="C152" s="20" t="s">
        <v>25</v>
      </c>
      <c r="D152" s="20" t="s">
        <v>29</v>
      </c>
      <c r="E152" s="22">
        <v>43319.94</v>
      </c>
      <c r="F152" s="20">
        <v>6551</v>
      </c>
      <c r="G152" s="23">
        <v>4.3999999999999997E-2</v>
      </c>
      <c r="H152" s="20">
        <v>13</v>
      </c>
      <c r="I152" s="22">
        <v>99</v>
      </c>
      <c r="J152" s="22">
        <v>5.45</v>
      </c>
      <c r="K152" s="20">
        <v>0</v>
      </c>
      <c r="L152" s="22">
        <v>4.0999999999999996</v>
      </c>
      <c r="M152" s="22">
        <v>712868.35</v>
      </c>
      <c r="N152" s="22">
        <v>133650.51</v>
      </c>
    </row>
    <row r="153" spans="1:14">
      <c r="A153" s="16" t="s">
        <v>60</v>
      </c>
      <c r="B153" s="17">
        <v>45717</v>
      </c>
      <c r="C153" s="16" t="s">
        <v>25</v>
      </c>
      <c r="D153" s="16" t="s">
        <v>29</v>
      </c>
      <c r="E153" s="18">
        <v>47093.55</v>
      </c>
      <c r="F153" s="16">
        <v>5550</v>
      </c>
      <c r="G153" s="19">
        <v>0.1</v>
      </c>
      <c r="H153" s="16">
        <v>12</v>
      </c>
      <c r="I153" s="18">
        <v>95</v>
      </c>
      <c r="J153" s="18">
        <v>2.33</v>
      </c>
      <c r="K153" s="16">
        <v>1</v>
      </c>
      <c r="L153" s="18">
        <v>3.7</v>
      </c>
      <c r="M153" s="18">
        <v>696744.15</v>
      </c>
      <c r="N153" s="18">
        <v>152230.09</v>
      </c>
    </row>
    <row r="154" spans="1:14">
      <c r="A154" s="20" t="s">
        <v>60</v>
      </c>
      <c r="B154" s="21">
        <v>45748</v>
      </c>
      <c r="C154" s="20" t="s">
        <v>25</v>
      </c>
      <c r="D154" s="20" t="s">
        <v>29</v>
      </c>
      <c r="E154" s="22">
        <v>71855.09</v>
      </c>
      <c r="F154" s="20">
        <v>5911</v>
      </c>
      <c r="G154" s="23">
        <v>0.19700000000000001</v>
      </c>
      <c r="H154" s="20">
        <v>15</v>
      </c>
      <c r="I154" s="22">
        <v>94.3</v>
      </c>
      <c r="J154" s="22">
        <v>3.55</v>
      </c>
      <c r="K154" s="20">
        <v>0</v>
      </c>
      <c r="L154" s="22">
        <v>4.0999999999999996</v>
      </c>
      <c r="M154" s="22">
        <v>725847.99</v>
      </c>
      <c r="N154" s="22">
        <v>122698.73</v>
      </c>
    </row>
    <row r="155" spans="1:14">
      <c r="A155" s="16" t="s">
        <v>61</v>
      </c>
      <c r="B155" s="17">
        <v>45658</v>
      </c>
      <c r="C155" s="16" t="s">
        <v>16</v>
      </c>
      <c r="D155" s="16" t="s">
        <v>19</v>
      </c>
      <c r="E155" s="18">
        <v>75645.23</v>
      </c>
      <c r="F155" s="16">
        <v>9674</v>
      </c>
      <c r="G155" s="19">
        <v>0.23400000000000001</v>
      </c>
      <c r="H155" s="16">
        <v>21</v>
      </c>
      <c r="I155" s="18">
        <v>87.4</v>
      </c>
      <c r="J155" s="18">
        <v>0.2</v>
      </c>
      <c r="K155" s="16">
        <v>0</v>
      </c>
      <c r="L155" s="18">
        <v>4.5</v>
      </c>
      <c r="M155" s="18">
        <v>785028.25</v>
      </c>
      <c r="N155" s="18">
        <v>110726.44</v>
      </c>
    </row>
    <row r="156" spans="1:14">
      <c r="A156" s="20" t="s">
        <v>61</v>
      </c>
      <c r="B156" s="21">
        <v>45689</v>
      </c>
      <c r="C156" s="20" t="s">
        <v>16</v>
      </c>
      <c r="D156" s="20" t="s">
        <v>19</v>
      </c>
      <c r="E156" s="22">
        <v>64374.75</v>
      </c>
      <c r="F156" s="20">
        <v>6740</v>
      </c>
      <c r="G156" s="23">
        <v>0.16900000000000001</v>
      </c>
      <c r="H156" s="20">
        <v>18</v>
      </c>
      <c r="I156" s="22">
        <v>87</v>
      </c>
      <c r="J156" s="22">
        <v>2.09</v>
      </c>
      <c r="K156" s="20">
        <v>0</v>
      </c>
      <c r="L156" s="22">
        <v>4.2</v>
      </c>
      <c r="M156" s="22">
        <v>698492.67</v>
      </c>
      <c r="N156" s="22">
        <v>117319.32</v>
      </c>
    </row>
    <row r="157" spans="1:14">
      <c r="A157" s="16" t="s">
        <v>61</v>
      </c>
      <c r="B157" s="17">
        <v>45717</v>
      </c>
      <c r="C157" s="16" t="s">
        <v>16</v>
      </c>
      <c r="D157" s="16" t="s">
        <v>19</v>
      </c>
      <c r="E157" s="18">
        <v>61433.84</v>
      </c>
      <c r="F157" s="16">
        <v>7745</v>
      </c>
      <c r="G157" s="19">
        <v>0.18</v>
      </c>
      <c r="H157" s="16">
        <v>16</v>
      </c>
      <c r="I157" s="18">
        <v>90.5</v>
      </c>
      <c r="J157" s="18">
        <v>2.2599999999999998</v>
      </c>
      <c r="K157" s="16">
        <v>0</v>
      </c>
      <c r="L157" s="18">
        <v>4.2</v>
      </c>
      <c r="M157" s="18">
        <v>685830.24</v>
      </c>
      <c r="N157" s="18">
        <v>128736.18</v>
      </c>
    </row>
    <row r="158" spans="1:14">
      <c r="A158" s="20" t="s">
        <v>61</v>
      </c>
      <c r="B158" s="21">
        <v>45748</v>
      </c>
      <c r="C158" s="20" t="s">
        <v>16</v>
      </c>
      <c r="D158" s="20" t="s">
        <v>19</v>
      </c>
      <c r="E158" s="22">
        <v>42698.14</v>
      </c>
      <c r="F158" s="20">
        <v>7693</v>
      </c>
      <c r="G158" s="23">
        <v>0.187</v>
      </c>
      <c r="H158" s="20">
        <v>19</v>
      </c>
      <c r="I158" s="22">
        <v>90.1</v>
      </c>
      <c r="J158" s="22">
        <v>0.44</v>
      </c>
      <c r="K158" s="20">
        <v>0</v>
      </c>
      <c r="L158" s="22">
        <v>4.4000000000000004</v>
      </c>
      <c r="M158" s="22">
        <v>702318.94</v>
      </c>
      <c r="N158" s="22">
        <v>112829.29</v>
      </c>
    </row>
    <row r="159" spans="1:14">
      <c r="A159" s="16" t="s">
        <v>62</v>
      </c>
      <c r="B159" s="17">
        <v>45658</v>
      </c>
      <c r="C159" s="16" t="s">
        <v>21</v>
      </c>
      <c r="D159" s="16" t="s">
        <v>29</v>
      </c>
      <c r="E159" s="18">
        <v>86883.31</v>
      </c>
      <c r="F159" s="16">
        <v>6424</v>
      </c>
      <c r="G159" s="19">
        <v>5.7000000000000002E-2</v>
      </c>
      <c r="H159" s="16">
        <v>19</v>
      </c>
      <c r="I159" s="18">
        <v>85.2</v>
      </c>
      <c r="J159" s="18">
        <v>3.08</v>
      </c>
      <c r="K159" s="16">
        <v>0</v>
      </c>
      <c r="L159" s="18">
        <v>3.9</v>
      </c>
      <c r="M159" s="18">
        <v>700078.32</v>
      </c>
      <c r="N159" s="18">
        <v>123707.58</v>
      </c>
    </row>
    <row r="160" spans="1:14">
      <c r="A160" s="20" t="s">
        <v>62</v>
      </c>
      <c r="B160" s="21">
        <v>45689</v>
      </c>
      <c r="C160" s="20" t="s">
        <v>21</v>
      </c>
      <c r="D160" s="20" t="s">
        <v>29</v>
      </c>
      <c r="E160" s="22">
        <v>41863.08</v>
      </c>
      <c r="F160" s="20">
        <v>5400</v>
      </c>
      <c r="G160" s="23">
        <v>0.114</v>
      </c>
      <c r="H160" s="20">
        <v>11</v>
      </c>
      <c r="I160" s="22">
        <v>91.6</v>
      </c>
      <c r="J160" s="22">
        <v>7.99</v>
      </c>
      <c r="K160" s="20">
        <v>0</v>
      </c>
      <c r="L160" s="22">
        <v>3</v>
      </c>
      <c r="M160" s="22">
        <v>602002.31999999995</v>
      </c>
      <c r="N160" s="22">
        <v>110453.28</v>
      </c>
    </row>
    <row r="161" spans="1:14">
      <c r="A161" s="16" t="s">
        <v>62</v>
      </c>
      <c r="B161" s="17">
        <v>45717</v>
      </c>
      <c r="C161" s="16" t="s">
        <v>21</v>
      </c>
      <c r="D161" s="16" t="s">
        <v>29</v>
      </c>
      <c r="E161" s="18">
        <v>56918.16</v>
      </c>
      <c r="F161" s="16">
        <v>7015</v>
      </c>
      <c r="G161" s="19">
        <v>0.158</v>
      </c>
      <c r="H161" s="16">
        <v>18</v>
      </c>
      <c r="I161" s="18">
        <v>74.2</v>
      </c>
      <c r="J161" s="18">
        <v>0.2</v>
      </c>
      <c r="K161" s="16">
        <v>0</v>
      </c>
      <c r="L161" s="18">
        <v>3.4</v>
      </c>
      <c r="M161" s="18">
        <v>724216.07</v>
      </c>
      <c r="N161" s="18">
        <v>100627.56</v>
      </c>
    </row>
    <row r="162" spans="1:14">
      <c r="A162" s="20" t="s">
        <v>62</v>
      </c>
      <c r="B162" s="21">
        <v>45748</v>
      </c>
      <c r="C162" s="20" t="s">
        <v>21</v>
      </c>
      <c r="D162" s="20" t="s">
        <v>29</v>
      </c>
      <c r="E162" s="22">
        <v>23254.57</v>
      </c>
      <c r="F162" s="20">
        <v>3847</v>
      </c>
      <c r="G162" s="23">
        <v>0.159</v>
      </c>
      <c r="H162" s="20">
        <v>12</v>
      </c>
      <c r="I162" s="22">
        <v>93</v>
      </c>
      <c r="J162" s="22">
        <v>5.46</v>
      </c>
      <c r="K162" s="20">
        <v>0</v>
      </c>
      <c r="L162" s="22">
        <v>3.3</v>
      </c>
      <c r="M162" s="22">
        <v>620973.03</v>
      </c>
      <c r="N162" s="22">
        <v>72303.850000000006</v>
      </c>
    </row>
    <row r="163" spans="1:14">
      <c r="A163" s="16" t="s">
        <v>63</v>
      </c>
      <c r="B163" s="17">
        <v>45658</v>
      </c>
      <c r="C163" s="16" t="s">
        <v>25</v>
      </c>
      <c r="D163" s="16" t="s">
        <v>19</v>
      </c>
      <c r="E163" s="18">
        <v>41443.410000000003</v>
      </c>
      <c r="F163" s="16">
        <v>7455</v>
      </c>
      <c r="G163" s="19">
        <v>0.17499999999999999</v>
      </c>
      <c r="H163" s="16">
        <v>16</v>
      </c>
      <c r="I163" s="18">
        <v>90.1</v>
      </c>
      <c r="J163" s="18">
        <v>4.05</v>
      </c>
      <c r="K163" s="16">
        <v>0</v>
      </c>
      <c r="L163" s="18">
        <v>4</v>
      </c>
      <c r="M163" s="18">
        <v>650480.06000000006</v>
      </c>
      <c r="N163" s="18">
        <v>109012.07</v>
      </c>
    </row>
    <row r="164" spans="1:14">
      <c r="A164" s="20" t="s">
        <v>63</v>
      </c>
      <c r="B164" s="21">
        <v>45689</v>
      </c>
      <c r="C164" s="20" t="s">
        <v>25</v>
      </c>
      <c r="D164" s="20" t="s">
        <v>19</v>
      </c>
      <c r="E164" s="22">
        <v>48438.85</v>
      </c>
      <c r="F164" s="20">
        <v>6992</v>
      </c>
      <c r="G164" s="23">
        <v>3.4000000000000002E-2</v>
      </c>
      <c r="H164" s="20">
        <v>20</v>
      </c>
      <c r="I164" s="22">
        <v>91</v>
      </c>
      <c r="J164" s="22">
        <v>4.3600000000000003</v>
      </c>
      <c r="K164" s="20">
        <v>0</v>
      </c>
      <c r="L164" s="22">
        <v>4.2</v>
      </c>
      <c r="M164" s="22">
        <v>778298.88</v>
      </c>
      <c r="N164" s="22">
        <v>130076.72</v>
      </c>
    </row>
    <row r="165" spans="1:14">
      <c r="A165" s="16" t="s">
        <v>63</v>
      </c>
      <c r="B165" s="17">
        <v>45717</v>
      </c>
      <c r="C165" s="16" t="s">
        <v>25</v>
      </c>
      <c r="D165" s="16" t="s">
        <v>19</v>
      </c>
      <c r="E165" s="18">
        <v>57143.3</v>
      </c>
      <c r="F165" s="16">
        <v>8038</v>
      </c>
      <c r="G165" s="19">
        <v>0.193</v>
      </c>
      <c r="H165" s="16">
        <v>17</v>
      </c>
      <c r="I165" s="18">
        <v>72.599999999999994</v>
      </c>
      <c r="J165" s="24"/>
      <c r="K165" s="16">
        <v>0</v>
      </c>
      <c r="L165" s="18">
        <v>4.2</v>
      </c>
      <c r="M165" s="18">
        <v>677096.71</v>
      </c>
      <c r="N165" s="18">
        <v>97174.11</v>
      </c>
    </row>
    <row r="166" spans="1:14">
      <c r="A166" s="20" t="s">
        <v>63</v>
      </c>
      <c r="B166" s="21">
        <v>45748</v>
      </c>
      <c r="C166" s="20" t="s">
        <v>25</v>
      </c>
      <c r="D166" s="20" t="s">
        <v>19</v>
      </c>
      <c r="E166" s="22">
        <v>66870.62</v>
      </c>
      <c r="F166" s="20">
        <v>6055</v>
      </c>
      <c r="G166" s="23">
        <v>7.4999999999999997E-2</v>
      </c>
      <c r="H166" s="20">
        <v>19</v>
      </c>
      <c r="I166" s="22">
        <v>93.8</v>
      </c>
      <c r="J166" s="22">
        <v>0.54</v>
      </c>
      <c r="K166" s="20">
        <v>0</v>
      </c>
      <c r="L166" s="22">
        <v>4.3</v>
      </c>
      <c r="M166" s="22">
        <v>692008.64</v>
      </c>
      <c r="N166" s="22">
        <v>116337.87</v>
      </c>
    </row>
    <row r="167" spans="1:14">
      <c r="A167" s="16" t="s">
        <v>64</v>
      </c>
      <c r="B167" s="17">
        <v>45658</v>
      </c>
      <c r="C167" s="16" t="s">
        <v>21</v>
      </c>
      <c r="D167" s="16" t="s">
        <v>29</v>
      </c>
      <c r="E167" s="18">
        <v>72150.53</v>
      </c>
      <c r="F167" s="16">
        <v>9323</v>
      </c>
      <c r="G167" s="19">
        <v>0.157</v>
      </c>
      <c r="H167" s="16">
        <v>22</v>
      </c>
      <c r="I167" s="18">
        <v>82.9</v>
      </c>
      <c r="J167" s="18">
        <v>11.37</v>
      </c>
      <c r="K167" s="16">
        <v>1</v>
      </c>
      <c r="L167" s="18">
        <v>4.3</v>
      </c>
      <c r="M167" s="18">
        <v>825797.91</v>
      </c>
      <c r="N167" s="18">
        <v>130945.24</v>
      </c>
    </row>
    <row r="168" spans="1:14">
      <c r="A168" s="20" t="s">
        <v>64</v>
      </c>
      <c r="B168" s="21">
        <v>45689</v>
      </c>
      <c r="C168" s="20" t="s">
        <v>21</v>
      </c>
      <c r="D168" s="20" t="s">
        <v>29</v>
      </c>
      <c r="E168" s="22">
        <v>35303.300000000003</v>
      </c>
      <c r="F168" s="20">
        <v>8789</v>
      </c>
      <c r="G168" s="23">
        <v>0.123</v>
      </c>
      <c r="H168" s="20">
        <v>22</v>
      </c>
      <c r="I168" s="22">
        <v>86.1</v>
      </c>
      <c r="J168" s="22">
        <v>9.43</v>
      </c>
      <c r="K168" s="20">
        <v>0</v>
      </c>
      <c r="L168" s="22">
        <v>4.2</v>
      </c>
      <c r="M168" s="22">
        <v>706285.52</v>
      </c>
      <c r="N168" s="22">
        <v>138014.72</v>
      </c>
    </row>
    <row r="169" spans="1:14">
      <c r="A169" s="16" t="s">
        <v>64</v>
      </c>
      <c r="B169" s="17">
        <v>45717</v>
      </c>
      <c r="C169" s="16" t="s">
        <v>21</v>
      </c>
      <c r="D169" s="16" t="s">
        <v>29</v>
      </c>
      <c r="E169" s="18">
        <v>30301.86</v>
      </c>
      <c r="F169" s="16">
        <v>6939</v>
      </c>
      <c r="G169" s="19">
        <v>0.09</v>
      </c>
      <c r="H169" s="16">
        <v>16</v>
      </c>
      <c r="I169" s="18">
        <v>90.3</v>
      </c>
      <c r="J169" s="18">
        <v>3.49</v>
      </c>
      <c r="K169" s="16">
        <v>0</v>
      </c>
      <c r="L169" s="18">
        <v>4</v>
      </c>
      <c r="M169" s="18">
        <v>665534.69999999995</v>
      </c>
      <c r="N169" s="18">
        <v>113167.73</v>
      </c>
    </row>
    <row r="170" spans="1:14">
      <c r="A170" s="20" t="s">
        <v>64</v>
      </c>
      <c r="B170" s="21">
        <v>45748</v>
      </c>
      <c r="C170" s="20" t="s">
        <v>21</v>
      </c>
      <c r="D170" s="20" t="s">
        <v>29</v>
      </c>
      <c r="E170" s="22">
        <v>78432.14</v>
      </c>
      <c r="F170" s="20">
        <v>9440</v>
      </c>
      <c r="G170" s="23">
        <v>0.126</v>
      </c>
      <c r="H170" s="20">
        <v>23</v>
      </c>
      <c r="I170" s="22">
        <v>89.2</v>
      </c>
      <c r="J170" s="22">
        <v>7.86</v>
      </c>
      <c r="K170" s="20">
        <v>0</v>
      </c>
      <c r="L170" s="22">
        <v>4.0999999999999996</v>
      </c>
      <c r="M170" s="22">
        <v>820729.29</v>
      </c>
      <c r="N170" s="22">
        <v>159325.47</v>
      </c>
    </row>
    <row r="171" spans="1:14">
      <c r="A171" s="16" t="s">
        <v>65</v>
      </c>
      <c r="B171" s="17">
        <v>45658</v>
      </c>
      <c r="C171" s="16" t="s">
        <v>16</v>
      </c>
      <c r="D171" s="16" t="s">
        <v>17</v>
      </c>
      <c r="E171" s="18">
        <v>62059.18</v>
      </c>
      <c r="F171" s="16">
        <v>9374</v>
      </c>
      <c r="G171" s="19">
        <v>0.13600000000000001</v>
      </c>
      <c r="H171" s="16">
        <v>25</v>
      </c>
      <c r="I171" s="18">
        <v>87.1</v>
      </c>
      <c r="J171" s="18">
        <v>12.55</v>
      </c>
      <c r="K171" s="16">
        <v>0</v>
      </c>
      <c r="L171" s="18">
        <v>4.9000000000000004</v>
      </c>
      <c r="M171" s="18">
        <v>739831.73</v>
      </c>
      <c r="N171" s="18">
        <v>119490.21</v>
      </c>
    </row>
    <row r="172" spans="1:14">
      <c r="A172" s="20" t="s">
        <v>65</v>
      </c>
      <c r="B172" s="21">
        <v>45689</v>
      </c>
      <c r="C172" s="20" t="s">
        <v>16</v>
      </c>
      <c r="D172" s="20" t="s">
        <v>17</v>
      </c>
      <c r="E172" s="22">
        <v>32834.480000000003</v>
      </c>
      <c r="F172" s="20">
        <v>7576</v>
      </c>
      <c r="G172" s="23">
        <v>9.9000000000000005E-2</v>
      </c>
      <c r="H172" s="20">
        <v>15</v>
      </c>
      <c r="I172" s="22">
        <v>84.1</v>
      </c>
      <c r="J172" s="22">
        <v>3.48</v>
      </c>
      <c r="K172" s="20">
        <v>0</v>
      </c>
      <c r="L172" s="22">
        <v>5</v>
      </c>
      <c r="M172" s="22">
        <v>593637.14</v>
      </c>
      <c r="N172" s="22">
        <v>106648.14</v>
      </c>
    </row>
    <row r="173" spans="1:14">
      <c r="A173" s="16" t="s">
        <v>65</v>
      </c>
      <c r="B173" s="17">
        <v>45717</v>
      </c>
      <c r="C173" s="16" t="s">
        <v>16</v>
      </c>
      <c r="D173" s="16" t="s">
        <v>17</v>
      </c>
      <c r="E173" s="18">
        <v>50825.08</v>
      </c>
      <c r="F173" s="16">
        <v>8949</v>
      </c>
      <c r="G173" s="19">
        <v>0.157</v>
      </c>
      <c r="H173" s="16">
        <v>21</v>
      </c>
      <c r="I173" s="18">
        <v>84.7</v>
      </c>
      <c r="J173" s="18">
        <v>7.73</v>
      </c>
      <c r="K173" s="16">
        <v>0</v>
      </c>
      <c r="L173" s="18">
        <v>4.9000000000000004</v>
      </c>
      <c r="M173" s="18">
        <v>769702.76</v>
      </c>
      <c r="N173" s="18">
        <v>158697</v>
      </c>
    </row>
    <row r="174" spans="1:14">
      <c r="A174" s="20" t="s">
        <v>65</v>
      </c>
      <c r="B174" s="21">
        <v>45748</v>
      </c>
      <c r="C174" s="20" t="s">
        <v>16</v>
      </c>
      <c r="D174" s="20" t="s">
        <v>17</v>
      </c>
      <c r="E174" s="22">
        <v>36606.51</v>
      </c>
      <c r="F174" s="20">
        <v>7671</v>
      </c>
      <c r="G174" s="23">
        <v>0.11799999999999999</v>
      </c>
      <c r="H174" s="20">
        <v>18</v>
      </c>
      <c r="I174" s="22">
        <v>89.8</v>
      </c>
      <c r="J174" s="22">
        <v>0.25</v>
      </c>
      <c r="K174" s="20">
        <v>0</v>
      </c>
      <c r="L174" s="22">
        <v>4.4000000000000004</v>
      </c>
      <c r="M174" s="22">
        <v>679731.57</v>
      </c>
      <c r="N174" s="22">
        <v>121546.42</v>
      </c>
    </row>
    <row r="175" spans="1:14">
      <c r="A175" s="16" t="s">
        <v>66</v>
      </c>
      <c r="B175" s="17">
        <v>45658</v>
      </c>
      <c r="C175" s="16" t="s">
        <v>16</v>
      </c>
      <c r="D175" s="16" t="s">
        <v>17</v>
      </c>
      <c r="E175" s="18">
        <v>65237.79</v>
      </c>
      <c r="F175" s="16">
        <v>8741</v>
      </c>
      <c r="G175" s="19">
        <v>0.157</v>
      </c>
      <c r="H175" s="16">
        <v>20</v>
      </c>
      <c r="I175" s="18">
        <v>94.4</v>
      </c>
      <c r="J175" s="18">
        <v>6.43</v>
      </c>
      <c r="K175" s="16">
        <v>0</v>
      </c>
      <c r="L175" s="18">
        <v>3.3</v>
      </c>
      <c r="M175" s="18">
        <v>780344.18</v>
      </c>
      <c r="N175" s="18">
        <v>118239.09</v>
      </c>
    </row>
    <row r="176" spans="1:14">
      <c r="A176" s="20" t="s">
        <v>66</v>
      </c>
      <c r="B176" s="21">
        <v>45689</v>
      </c>
      <c r="C176" s="20" t="s">
        <v>16</v>
      </c>
      <c r="D176" s="20" t="s">
        <v>17</v>
      </c>
      <c r="E176" s="22">
        <v>43645.98</v>
      </c>
      <c r="F176" s="20">
        <v>9480</v>
      </c>
      <c r="G176" s="23">
        <v>0.109</v>
      </c>
      <c r="H176" s="20">
        <v>22</v>
      </c>
      <c r="I176" s="22">
        <v>89</v>
      </c>
      <c r="J176" s="22">
        <v>2.11</v>
      </c>
      <c r="K176" s="20">
        <v>0</v>
      </c>
      <c r="L176" s="22">
        <v>3.1</v>
      </c>
      <c r="M176" s="22">
        <v>721364.11</v>
      </c>
      <c r="N176" s="22">
        <v>147272.81</v>
      </c>
    </row>
    <row r="177" spans="1:14">
      <c r="A177" s="16" t="s">
        <v>66</v>
      </c>
      <c r="B177" s="17">
        <v>45717</v>
      </c>
      <c r="C177" s="16" t="s">
        <v>16</v>
      </c>
      <c r="D177" s="16" t="s">
        <v>17</v>
      </c>
      <c r="E177" s="18">
        <v>68040.149999999994</v>
      </c>
      <c r="F177" s="16">
        <v>9826</v>
      </c>
      <c r="G177" s="19">
        <v>0.125</v>
      </c>
      <c r="H177" s="16">
        <v>20</v>
      </c>
      <c r="I177" s="18">
        <v>83.9</v>
      </c>
      <c r="J177" s="18">
        <v>9.1199999999999992</v>
      </c>
      <c r="K177" s="16">
        <v>0</v>
      </c>
      <c r="L177" s="18">
        <v>3.6</v>
      </c>
      <c r="M177" s="18">
        <v>758138.29</v>
      </c>
      <c r="N177" s="18">
        <v>132975.26</v>
      </c>
    </row>
    <row r="178" spans="1:14">
      <c r="A178" s="20" t="s">
        <v>66</v>
      </c>
      <c r="B178" s="21">
        <v>45748</v>
      </c>
      <c r="C178" s="20" t="s">
        <v>16</v>
      </c>
      <c r="D178" s="20" t="s">
        <v>17</v>
      </c>
      <c r="E178" s="22">
        <v>63043.94</v>
      </c>
      <c r="F178" s="20">
        <v>10402</v>
      </c>
      <c r="G178" s="23">
        <v>0.159</v>
      </c>
      <c r="H178" s="20">
        <v>23</v>
      </c>
      <c r="I178" s="22">
        <v>93.9</v>
      </c>
      <c r="J178" s="22">
        <v>2.71</v>
      </c>
      <c r="K178" s="20">
        <v>0</v>
      </c>
      <c r="L178" s="22">
        <v>3.1</v>
      </c>
      <c r="M178" s="22">
        <v>804264</v>
      </c>
      <c r="N178" s="22">
        <v>167117.91</v>
      </c>
    </row>
    <row r="179" spans="1:14">
      <c r="A179" s="16" t="s">
        <v>67</v>
      </c>
      <c r="B179" s="17">
        <v>45658</v>
      </c>
      <c r="C179" s="16" t="s">
        <v>28</v>
      </c>
      <c r="D179" s="16" t="s">
        <v>22</v>
      </c>
      <c r="E179" s="18">
        <v>67494.09</v>
      </c>
      <c r="F179" s="16">
        <v>12361</v>
      </c>
      <c r="G179" s="19">
        <v>4.5999999999999999E-2</v>
      </c>
      <c r="H179" s="16">
        <v>24</v>
      </c>
      <c r="I179" s="18">
        <v>76.599999999999994</v>
      </c>
      <c r="J179" s="18">
        <v>3.65</v>
      </c>
      <c r="K179" s="16">
        <v>1</v>
      </c>
      <c r="L179" s="18">
        <v>3.7</v>
      </c>
      <c r="M179" s="18">
        <v>887537.75</v>
      </c>
      <c r="N179" s="18">
        <v>160362.92000000001</v>
      </c>
    </row>
    <row r="180" spans="1:14">
      <c r="A180" s="20" t="s">
        <v>67</v>
      </c>
      <c r="B180" s="21">
        <v>45689</v>
      </c>
      <c r="C180" s="20" t="s">
        <v>28</v>
      </c>
      <c r="D180" s="20" t="s">
        <v>22</v>
      </c>
      <c r="E180" s="22">
        <v>29389.32</v>
      </c>
      <c r="F180" s="20">
        <v>7925</v>
      </c>
      <c r="G180" s="23">
        <v>0.17699999999999999</v>
      </c>
      <c r="H180" s="20">
        <v>21</v>
      </c>
      <c r="I180" s="22">
        <v>90.9</v>
      </c>
      <c r="J180" s="22">
        <v>7.86</v>
      </c>
      <c r="K180" s="20">
        <v>0</v>
      </c>
      <c r="L180" s="22">
        <v>4</v>
      </c>
      <c r="M180" s="22">
        <v>783582</v>
      </c>
      <c r="N180" s="22">
        <v>130670.93</v>
      </c>
    </row>
    <row r="181" spans="1:14">
      <c r="A181" s="16" t="s">
        <v>67</v>
      </c>
      <c r="B181" s="17">
        <v>45717</v>
      </c>
      <c r="C181" s="16" t="s">
        <v>28</v>
      </c>
      <c r="D181" s="16" t="s">
        <v>22</v>
      </c>
      <c r="E181" s="18">
        <v>40535.089999999997</v>
      </c>
      <c r="F181" s="16">
        <v>8870</v>
      </c>
      <c r="G181" s="19">
        <v>4.1000000000000002E-2</v>
      </c>
      <c r="H181" s="16">
        <v>21</v>
      </c>
      <c r="I181" s="18">
        <v>86.6</v>
      </c>
      <c r="J181" s="18">
        <v>0.3</v>
      </c>
      <c r="K181" s="16">
        <v>0</v>
      </c>
      <c r="L181" s="18">
        <v>4.0999999999999996</v>
      </c>
      <c r="M181" s="18">
        <v>781955.52</v>
      </c>
      <c r="N181" s="18">
        <v>152578.71</v>
      </c>
    </row>
    <row r="182" spans="1:14">
      <c r="A182" s="20" t="s">
        <v>67</v>
      </c>
      <c r="B182" s="21">
        <v>45748</v>
      </c>
      <c r="C182" s="20" t="s">
        <v>28</v>
      </c>
      <c r="D182" s="20" t="s">
        <v>22</v>
      </c>
      <c r="E182" s="22">
        <v>74881.56</v>
      </c>
      <c r="F182" s="20">
        <v>9999</v>
      </c>
      <c r="G182" s="23">
        <v>1.2999999999999999E-2</v>
      </c>
      <c r="H182" s="20">
        <v>20</v>
      </c>
      <c r="I182" s="22">
        <v>89.6</v>
      </c>
      <c r="J182" s="22">
        <v>8.44</v>
      </c>
      <c r="K182" s="20">
        <v>0</v>
      </c>
      <c r="L182" s="22">
        <v>4.0999999999999996</v>
      </c>
      <c r="M182" s="22">
        <v>898031.04</v>
      </c>
      <c r="N182" s="22">
        <v>138666.5</v>
      </c>
    </row>
    <row r="183" spans="1:14">
      <c r="A183" s="16" t="s">
        <v>68</v>
      </c>
      <c r="B183" s="17">
        <v>45658</v>
      </c>
      <c r="C183" s="16" t="s">
        <v>28</v>
      </c>
      <c r="D183" s="16" t="s">
        <v>17</v>
      </c>
      <c r="E183" s="18">
        <v>68491.11</v>
      </c>
      <c r="F183" s="16">
        <v>11154</v>
      </c>
      <c r="G183" s="19">
        <v>1E-3</v>
      </c>
      <c r="H183" s="16">
        <v>24</v>
      </c>
      <c r="I183" s="18">
        <v>89.4</v>
      </c>
      <c r="J183" s="18">
        <v>5.27</v>
      </c>
      <c r="K183" s="16">
        <v>1</v>
      </c>
      <c r="L183" s="18">
        <v>3.9</v>
      </c>
      <c r="M183" s="18">
        <v>855341.28</v>
      </c>
      <c r="N183" s="18">
        <v>175823.8</v>
      </c>
    </row>
    <row r="184" spans="1:14">
      <c r="A184" s="20" t="s">
        <v>68</v>
      </c>
      <c r="B184" s="21">
        <v>45689</v>
      </c>
      <c r="C184" s="20" t="s">
        <v>28</v>
      </c>
      <c r="D184" s="20" t="s">
        <v>17</v>
      </c>
      <c r="E184" s="22">
        <v>45209.25</v>
      </c>
      <c r="F184" s="20">
        <v>9287</v>
      </c>
      <c r="G184" s="23">
        <v>0.14099999999999999</v>
      </c>
      <c r="H184" s="20">
        <v>22</v>
      </c>
      <c r="I184" s="22">
        <v>86.4</v>
      </c>
      <c r="J184" s="22">
        <v>13.22</v>
      </c>
      <c r="K184" s="20">
        <v>0</v>
      </c>
      <c r="L184" s="22">
        <v>3.6</v>
      </c>
      <c r="M184" s="22">
        <v>751393.88</v>
      </c>
      <c r="N184" s="22">
        <v>91480.320000000007</v>
      </c>
    </row>
    <row r="185" spans="1:14">
      <c r="A185" s="16" t="s">
        <v>68</v>
      </c>
      <c r="B185" s="17">
        <v>45717</v>
      </c>
      <c r="C185" s="16" t="s">
        <v>28</v>
      </c>
      <c r="D185" s="16" t="s">
        <v>17</v>
      </c>
      <c r="E185" s="18">
        <v>63010.23</v>
      </c>
      <c r="F185" s="16">
        <v>9812</v>
      </c>
      <c r="G185" s="19">
        <v>0.113</v>
      </c>
      <c r="H185" s="16">
        <v>24</v>
      </c>
      <c r="I185" s="18">
        <v>76.8</v>
      </c>
      <c r="J185" s="18">
        <v>1.02</v>
      </c>
      <c r="K185" s="16">
        <v>1</v>
      </c>
      <c r="L185" s="18">
        <v>3.8</v>
      </c>
      <c r="M185" s="18">
        <v>761077.08</v>
      </c>
      <c r="N185" s="18">
        <v>113605.93</v>
      </c>
    </row>
    <row r="186" spans="1:14">
      <c r="A186" s="20" t="s">
        <v>68</v>
      </c>
      <c r="B186" s="21">
        <v>45748</v>
      </c>
      <c r="C186" s="20" t="s">
        <v>28</v>
      </c>
      <c r="D186" s="20" t="s">
        <v>17</v>
      </c>
      <c r="E186" s="22">
        <v>57948.88</v>
      </c>
      <c r="F186" s="20">
        <v>10741</v>
      </c>
      <c r="G186" s="23">
        <v>7.0000000000000007E-2</v>
      </c>
      <c r="H186" s="20">
        <v>25</v>
      </c>
      <c r="I186" s="22">
        <v>90.1</v>
      </c>
      <c r="J186" s="22">
        <v>4.03</v>
      </c>
      <c r="K186" s="20">
        <v>0</v>
      </c>
      <c r="L186" s="22">
        <v>3.1</v>
      </c>
      <c r="M186" s="22">
        <v>819660.59</v>
      </c>
      <c r="N186" s="22">
        <v>172699.95</v>
      </c>
    </row>
    <row r="187" spans="1:14">
      <c r="A187" s="16" t="s">
        <v>69</v>
      </c>
      <c r="B187" s="17">
        <v>45658</v>
      </c>
      <c r="C187" s="16" t="s">
        <v>21</v>
      </c>
      <c r="D187" s="16" t="s">
        <v>19</v>
      </c>
      <c r="E187" s="18">
        <v>71941.62</v>
      </c>
      <c r="F187" s="16">
        <v>6084</v>
      </c>
      <c r="G187" s="19">
        <v>7.1999999999999995E-2</v>
      </c>
      <c r="H187" s="16">
        <v>13</v>
      </c>
      <c r="I187" s="18">
        <v>93.7</v>
      </c>
      <c r="J187" s="18">
        <v>2.34</v>
      </c>
      <c r="K187" s="16">
        <v>0</v>
      </c>
      <c r="L187" s="18">
        <v>4.4000000000000004</v>
      </c>
      <c r="M187" s="18">
        <v>681855.56</v>
      </c>
      <c r="N187" s="18">
        <v>117645.61</v>
      </c>
    </row>
    <row r="188" spans="1:14">
      <c r="A188" s="20" t="s">
        <v>69</v>
      </c>
      <c r="B188" s="21">
        <v>45689</v>
      </c>
      <c r="C188" s="20" t="s">
        <v>21</v>
      </c>
      <c r="D188" s="20" t="s">
        <v>19</v>
      </c>
      <c r="E188" s="22">
        <v>57147.88</v>
      </c>
      <c r="F188" s="20">
        <v>5252</v>
      </c>
      <c r="G188" s="23">
        <v>0.161</v>
      </c>
      <c r="H188" s="20">
        <v>15</v>
      </c>
      <c r="I188" s="22">
        <v>95.5</v>
      </c>
      <c r="J188" s="22">
        <v>8.51</v>
      </c>
      <c r="K188" s="20">
        <v>0</v>
      </c>
      <c r="L188" s="22">
        <v>4.4000000000000004</v>
      </c>
      <c r="M188" s="22">
        <v>678311.17</v>
      </c>
      <c r="N188" s="22">
        <v>132029.76000000001</v>
      </c>
    </row>
    <row r="189" spans="1:14">
      <c r="A189" s="16" t="s">
        <v>69</v>
      </c>
      <c r="B189" s="17">
        <v>45717</v>
      </c>
      <c r="C189" s="16" t="s">
        <v>21</v>
      </c>
      <c r="D189" s="16" t="s">
        <v>19</v>
      </c>
      <c r="E189" s="18">
        <v>48031.74</v>
      </c>
      <c r="F189" s="16">
        <v>6516</v>
      </c>
      <c r="G189" s="19">
        <v>6.7000000000000004E-2</v>
      </c>
      <c r="H189" s="16">
        <v>14</v>
      </c>
      <c r="I189" s="18">
        <v>99</v>
      </c>
      <c r="J189" s="18">
        <v>0.48</v>
      </c>
      <c r="K189" s="16">
        <v>1</v>
      </c>
      <c r="L189" s="18">
        <v>4.3</v>
      </c>
      <c r="M189" s="18">
        <v>765906.95</v>
      </c>
      <c r="N189" s="18">
        <v>114005.9</v>
      </c>
    </row>
    <row r="190" spans="1:14">
      <c r="A190" s="20" t="s">
        <v>69</v>
      </c>
      <c r="B190" s="21">
        <v>45748</v>
      </c>
      <c r="C190" s="20" t="s">
        <v>21</v>
      </c>
      <c r="D190" s="20" t="s">
        <v>19</v>
      </c>
      <c r="E190" s="22">
        <v>72784.800000000003</v>
      </c>
      <c r="F190" s="20">
        <v>7932</v>
      </c>
      <c r="G190" s="23">
        <v>9.4E-2</v>
      </c>
      <c r="H190" s="20">
        <v>20</v>
      </c>
      <c r="I190" s="22">
        <v>74.900000000000006</v>
      </c>
      <c r="J190" s="22">
        <v>13.62</v>
      </c>
      <c r="K190" s="20">
        <v>0</v>
      </c>
      <c r="L190" s="22">
        <v>4.2</v>
      </c>
      <c r="M190" s="22">
        <v>712546.38</v>
      </c>
      <c r="N190" s="22">
        <v>101480.04</v>
      </c>
    </row>
    <row r="191" spans="1:14">
      <c r="A191" s="16" t="s">
        <v>70</v>
      </c>
      <c r="B191" s="17">
        <v>45658</v>
      </c>
      <c r="C191" s="16" t="s">
        <v>16</v>
      </c>
      <c r="D191" s="16" t="s">
        <v>19</v>
      </c>
      <c r="E191" s="18">
        <v>71641.899999999994</v>
      </c>
      <c r="F191" s="16">
        <v>3506</v>
      </c>
      <c r="G191" s="19">
        <v>0</v>
      </c>
      <c r="H191" s="16">
        <v>11</v>
      </c>
      <c r="I191" s="18">
        <v>86.4</v>
      </c>
      <c r="J191" s="18">
        <v>7.77</v>
      </c>
      <c r="K191" s="16">
        <v>0</v>
      </c>
      <c r="L191" s="18">
        <v>4.0999999999999996</v>
      </c>
      <c r="M191" s="18">
        <v>625993.82999999996</v>
      </c>
      <c r="N191" s="18">
        <v>98960.320000000007</v>
      </c>
    </row>
    <row r="192" spans="1:14">
      <c r="A192" s="20" t="s">
        <v>70</v>
      </c>
      <c r="B192" s="21">
        <v>45689</v>
      </c>
      <c r="C192" s="20" t="s">
        <v>16</v>
      </c>
      <c r="D192" s="20" t="s">
        <v>19</v>
      </c>
      <c r="E192" s="22">
        <v>55788.61</v>
      </c>
      <c r="F192" s="20">
        <v>2312</v>
      </c>
      <c r="G192" s="23">
        <v>5.8000000000000003E-2</v>
      </c>
      <c r="H192" s="20">
        <v>10</v>
      </c>
      <c r="I192" s="22">
        <v>91.3</v>
      </c>
      <c r="J192" s="22">
        <v>1.99</v>
      </c>
      <c r="K192" s="20">
        <v>0</v>
      </c>
      <c r="L192" s="22">
        <v>3.8</v>
      </c>
      <c r="M192" s="22">
        <v>550962.93000000005</v>
      </c>
      <c r="N192" s="22">
        <v>97144.58</v>
      </c>
    </row>
    <row r="193" spans="1:14">
      <c r="A193" s="16" t="s">
        <v>70</v>
      </c>
      <c r="B193" s="17">
        <v>45717</v>
      </c>
      <c r="C193" s="16" t="s">
        <v>16</v>
      </c>
      <c r="D193" s="16" t="s">
        <v>19</v>
      </c>
      <c r="E193" s="18">
        <v>37705.879999999997</v>
      </c>
      <c r="F193" s="16">
        <v>1268</v>
      </c>
      <c r="G193" s="19">
        <v>0.25900000000000001</v>
      </c>
      <c r="H193" s="16">
        <v>9</v>
      </c>
      <c r="I193" s="18">
        <v>84.1</v>
      </c>
      <c r="J193" s="18">
        <v>4.7699999999999996</v>
      </c>
      <c r="K193" s="16">
        <v>0</v>
      </c>
      <c r="L193" s="18">
        <v>3.8</v>
      </c>
      <c r="M193" s="18">
        <v>443275.59</v>
      </c>
      <c r="N193" s="18">
        <v>53544.36</v>
      </c>
    </row>
    <row r="194" spans="1:14">
      <c r="A194" s="20" t="s">
        <v>70</v>
      </c>
      <c r="B194" s="21">
        <v>45748</v>
      </c>
      <c r="C194" s="20" t="s">
        <v>16</v>
      </c>
      <c r="D194" s="20" t="s">
        <v>19</v>
      </c>
      <c r="E194" s="22">
        <v>54966.18</v>
      </c>
      <c r="F194" s="20">
        <v>4423</v>
      </c>
      <c r="G194" s="23">
        <v>0.186</v>
      </c>
      <c r="H194" s="20">
        <v>13</v>
      </c>
      <c r="I194" s="22">
        <v>88.7</v>
      </c>
      <c r="J194" s="22">
        <v>0.2</v>
      </c>
      <c r="K194" s="20">
        <v>0</v>
      </c>
      <c r="L194" s="22">
        <v>4.4000000000000004</v>
      </c>
      <c r="M194" s="22">
        <v>554012.06999999995</v>
      </c>
      <c r="N194" s="22">
        <v>81101.62</v>
      </c>
    </row>
    <row r="195" spans="1:14">
      <c r="A195" s="16" t="s">
        <v>71</v>
      </c>
      <c r="B195" s="17">
        <v>45658</v>
      </c>
      <c r="C195" s="16" t="s">
        <v>28</v>
      </c>
      <c r="D195" s="16" t="s">
        <v>17</v>
      </c>
      <c r="E195" s="18">
        <v>81796.740000000005</v>
      </c>
      <c r="F195" s="16">
        <v>6177</v>
      </c>
      <c r="G195" s="19">
        <v>0.16400000000000001</v>
      </c>
      <c r="H195" s="16">
        <v>14</v>
      </c>
      <c r="I195" s="18">
        <v>87.9</v>
      </c>
      <c r="J195" s="18">
        <v>0.53</v>
      </c>
      <c r="K195" s="16">
        <v>0</v>
      </c>
      <c r="L195" s="18">
        <v>3.2</v>
      </c>
      <c r="M195" s="18">
        <v>643428.85</v>
      </c>
      <c r="N195" s="18">
        <v>94477.63</v>
      </c>
    </row>
    <row r="196" spans="1:14">
      <c r="A196" s="20" t="s">
        <v>71</v>
      </c>
      <c r="B196" s="21">
        <v>45689</v>
      </c>
      <c r="C196" s="20" t="s">
        <v>28</v>
      </c>
      <c r="D196" s="20" t="s">
        <v>17</v>
      </c>
      <c r="E196" s="22">
        <v>51133.43</v>
      </c>
      <c r="F196" s="20">
        <v>5150</v>
      </c>
      <c r="G196" s="23">
        <v>0.15</v>
      </c>
      <c r="H196" s="20">
        <v>12</v>
      </c>
      <c r="I196" s="22">
        <v>88.5</v>
      </c>
      <c r="J196" s="22">
        <v>1.54</v>
      </c>
      <c r="K196" s="20">
        <v>0</v>
      </c>
      <c r="L196" s="22">
        <v>3.2</v>
      </c>
      <c r="M196" s="22">
        <v>611924.27</v>
      </c>
      <c r="N196" s="22">
        <v>115488.75</v>
      </c>
    </row>
    <row r="197" spans="1:14">
      <c r="A197" s="16" t="s">
        <v>71</v>
      </c>
      <c r="B197" s="17">
        <v>45717</v>
      </c>
      <c r="C197" s="16" t="s">
        <v>28</v>
      </c>
      <c r="D197" s="16" t="s">
        <v>17</v>
      </c>
      <c r="E197" s="18">
        <v>40220.18</v>
      </c>
      <c r="F197" s="16">
        <v>3783</v>
      </c>
      <c r="G197" s="19">
        <v>8.8999999999999996E-2</v>
      </c>
      <c r="H197" s="16">
        <v>14</v>
      </c>
      <c r="I197" s="18">
        <v>86.6</v>
      </c>
      <c r="J197" s="18">
        <v>3.63</v>
      </c>
      <c r="K197" s="16">
        <v>0</v>
      </c>
      <c r="L197" s="18">
        <v>3.7</v>
      </c>
      <c r="M197" s="18">
        <v>559422.02</v>
      </c>
      <c r="N197" s="18">
        <v>73528.740000000005</v>
      </c>
    </row>
    <row r="198" spans="1:14">
      <c r="A198" s="20" t="s">
        <v>71</v>
      </c>
      <c r="B198" s="21">
        <v>45748</v>
      </c>
      <c r="C198" s="20" t="s">
        <v>28</v>
      </c>
      <c r="D198" s="20" t="s">
        <v>17</v>
      </c>
      <c r="E198" s="22">
        <v>41657.64</v>
      </c>
      <c r="F198" s="20">
        <v>3135</v>
      </c>
      <c r="G198" s="23">
        <v>0.22900000000000001</v>
      </c>
      <c r="H198" s="20">
        <v>7</v>
      </c>
      <c r="I198" s="22">
        <v>85.4</v>
      </c>
      <c r="J198" s="22">
        <v>13.48</v>
      </c>
      <c r="K198" s="20">
        <v>0</v>
      </c>
      <c r="L198" s="24"/>
      <c r="M198" s="22">
        <v>449465.06</v>
      </c>
      <c r="N198" s="22">
        <v>65694.78</v>
      </c>
    </row>
    <row r="199" spans="1:14">
      <c r="A199" s="16" t="s">
        <v>72</v>
      </c>
      <c r="B199" s="17">
        <v>45658</v>
      </c>
      <c r="C199" s="16" t="s">
        <v>21</v>
      </c>
      <c r="D199" s="16" t="s">
        <v>17</v>
      </c>
      <c r="E199" s="18">
        <v>71851.45</v>
      </c>
      <c r="F199" s="16">
        <v>4970</v>
      </c>
      <c r="G199" s="19">
        <v>9.8000000000000004E-2</v>
      </c>
      <c r="H199" s="16">
        <v>11</v>
      </c>
      <c r="I199" s="18">
        <v>89.6</v>
      </c>
      <c r="J199" s="18">
        <v>0.2</v>
      </c>
      <c r="K199" s="16">
        <v>0</v>
      </c>
      <c r="L199" s="18">
        <v>4.2</v>
      </c>
      <c r="M199" s="18">
        <v>691447.43</v>
      </c>
      <c r="N199" s="18">
        <v>114077.69</v>
      </c>
    </row>
    <row r="200" spans="1:14">
      <c r="A200" s="20" t="s">
        <v>72</v>
      </c>
      <c r="B200" s="21">
        <v>45689</v>
      </c>
      <c r="C200" s="20" t="s">
        <v>21</v>
      </c>
      <c r="D200" s="20" t="s">
        <v>17</v>
      </c>
      <c r="E200" s="22">
        <v>54002.83</v>
      </c>
      <c r="F200" s="20">
        <v>4366</v>
      </c>
      <c r="G200" s="23">
        <v>2.7E-2</v>
      </c>
      <c r="H200" s="20">
        <v>15</v>
      </c>
      <c r="I200" s="22">
        <v>90.6</v>
      </c>
      <c r="J200" s="22">
        <v>12.82</v>
      </c>
      <c r="K200" s="20">
        <v>0</v>
      </c>
      <c r="L200" s="22">
        <v>4.5999999999999996</v>
      </c>
      <c r="M200" s="22">
        <v>574066.61</v>
      </c>
      <c r="N200" s="22">
        <v>124674.67</v>
      </c>
    </row>
    <row r="201" spans="1:14">
      <c r="A201" s="16" t="s">
        <v>72</v>
      </c>
      <c r="B201" s="17">
        <v>45717</v>
      </c>
      <c r="C201" s="16" t="s">
        <v>21</v>
      </c>
      <c r="D201" s="16" t="s">
        <v>17</v>
      </c>
      <c r="E201" s="18">
        <v>54479.33</v>
      </c>
      <c r="F201" s="16">
        <v>5012</v>
      </c>
      <c r="G201" s="19">
        <v>0.28399999999999997</v>
      </c>
      <c r="H201" s="16">
        <v>13</v>
      </c>
      <c r="I201" s="18">
        <v>86</v>
      </c>
      <c r="J201" s="18">
        <v>2.2400000000000002</v>
      </c>
      <c r="K201" s="16">
        <v>1</v>
      </c>
      <c r="L201" s="18">
        <v>4.3</v>
      </c>
      <c r="M201" s="18">
        <v>578949.84</v>
      </c>
      <c r="N201" s="18">
        <v>80253.649999999994</v>
      </c>
    </row>
    <row r="202" spans="1:14">
      <c r="A202" s="20" t="s">
        <v>72</v>
      </c>
      <c r="B202" s="21">
        <v>45748</v>
      </c>
      <c r="C202" s="20" t="s">
        <v>21</v>
      </c>
      <c r="D202" s="20" t="s">
        <v>17</v>
      </c>
      <c r="E202" s="22">
        <v>61391.8</v>
      </c>
      <c r="F202" s="20">
        <v>5575</v>
      </c>
      <c r="G202" s="23">
        <v>0.189</v>
      </c>
      <c r="H202" s="20">
        <v>18</v>
      </c>
      <c r="I202" s="22">
        <v>90</v>
      </c>
      <c r="J202" s="22">
        <v>1.8</v>
      </c>
      <c r="K202" s="20">
        <v>0</v>
      </c>
      <c r="L202" s="22">
        <v>4.8</v>
      </c>
      <c r="M202" s="22">
        <v>735786.64</v>
      </c>
      <c r="N202" s="22">
        <v>126540.66</v>
      </c>
    </row>
    <row r="203" spans="1:14">
      <c r="A203" s="16" t="s">
        <v>73</v>
      </c>
      <c r="B203" s="17">
        <v>45658</v>
      </c>
      <c r="C203" s="16" t="s">
        <v>16</v>
      </c>
      <c r="D203" s="16" t="s">
        <v>22</v>
      </c>
      <c r="E203" s="18">
        <v>22312.93</v>
      </c>
      <c r="F203" s="16">
        <v>5955</v>
      </c>
      <c r="G203" s="19">
        <v>0.123</v>
      </c>
      <c r="H203" s="16">
        <v>13</v>
      </c>
      <c r="I203" s="18">
        <v>84.2</v>
      </c>
      <c r="J203" s="18">
        <v>0.41</v>
      </c>
      <c r="K203" s="16">
        <v>1</v>
      </c>
      <c r="L203" s="18">
        <v>4.5999999999999996</v>
      </c>
      <c r="M203" s="18">
        <v>598904.9</v>
      </c>
      <c r="N203" s="18">
        <v>72861</v>
      </c>
    </row>
    <row r="204" spans="1:14">
      <c r="A204" s="20" t="s">
        <v>73</v>
      </c>
      <c r="B204" s="21">
        <v>45689</v>
      </c>
      <c r="C204" s="20" t="s">
        <v>16</v>
      </c>
      <c r="D204" s="20" t="s">
        <v>22</v>
      </c>
      <c r="E204" s="22">
        <v>78111.97</v>
      </c>
      <c r="F204" s="20">
        <v>6389</v>
      </c>
      <c r="G204" s="23">
        <v>0.15</v>
      </c>
      <c r="H204" s="20">
        <v>13</v>
      </c>
      <c r="I204" s="22">
        <v>83.9</v>
      </c>
      <c r="J204" s="22">
        <v>3.05</v>
      </c>
      <c r="K204" s="20">
        <v>0</v>
      </c>
      <c r="L204" s="22">
        <v>4.8</v>
      </c>
      <c r="M204" s="22">
        <v>787715.51</v>
      </c>
      <c r="N204" s="22">
        <v>128969.62</v>
      </c>
    </row>
    <row r="205" spans="1:14">
      <c r="A205" s="16" t="s">
        <v>73</v>
      </c>
      <c r="B205" s="17">
        <v>45717</v>
      </c>
      <c r="C205" s="16" t="s">
        <v>16</v>
      </c>
      <c r="D205" s="16" t="s">
        <v>22</v>
      </c>
      <c r="E205" s="18">
        <v>35203.230000000003</v>
      </c>
      <c r="F205" s="16">
        <v>6896</v>
      </c>
      <c r="G205" s="19">
        <v>3.2000000000000001E-2</v>
      </c>
      <c r="H205" s="16">
        <v>14</v>
      </c>
      <c r="I205" s="18">
        <v>80.8</v>
      </c>
      <c r="J205" s="18">
        <v>8.44</v>
      </c>
      <c r="K205" s="16">
        <v>1</v>
      </c>
      <c r="L205" s="18">
        <v>5</v>
      </c>
      <c r="M205" s="18">
        <v>607084.92000000004</v>
      </c>
      <c r="N205" s="18">
        <v>98558.49</v>
      </c>
    </row>
    <row r="206" spans="1:14">
      <c r="A206" s="20" t="s">
        <v>73</v>
      </c>
      <c r="B206" s="21">
        <v>45748</v>
      </c>
      <c r="C206" s="20" t="s">
        <v>16</v>
      </c>
      <c r="D206" s="20" t="s">
        <v>22</v>
      </c>
      <c r="E206" s="22">
        <v>64104.28</v>
      </c>
      <c r="F206" s="20">
        <v>6015</v>
      </c>
      <c r="G206" s="23">
        <v>0.127</v>
      </c>
      <c r="H206" s="20">
        <v>15</v>
      </c>
      <c r="I206" s="22">
        <v>88.7</v>
      </c>
      <c r="J206" s="22">
        <v>0.78</v>
      </c>
      <c r="K206" s="20">
        <v>0</v>
      </c>
      <c r="L206" s="22">
        <v>4</v>
      </c>
      <c r="M206" s="22">
        <v>650795.49</v>
      </c>
      <c r="N206" s="22">
        <v>103035.89</v>
      </c>
    </row>
    <row r="207" spans="1:14">
      <c r="A207" s="16" t="s">
        <v>74</v>
      </c>
      <c r="B207" s="17">
        <v>45658</v>
      </c>
      <c r="C207" s="16" t="s">
        <v>16</v>
      </c>
      <c r="D207" s="16" t="s">
        <v>29</v>
      </c>
      <c r="E207" s="18">
        <v>92090.14</v>
      </c>
      <c r="F207" s="16">
        <v>9476</v>
      </c>
      <c r="G207" s="19">
        <v>7.0000000000000007E-2</v>
      </c>
      <c r="H207" s="16">
        <v>24</v>
      </c>
      <c r="I207" s="18">
        <v>94.3</v>
      </c>
      <c r="J207" s="18">
        <v>0.87</v>
      </c>
      <c r="K207" s="16">
        <v>0</v>
      </c>
      <c r="L207" s="18">
        <v>3.7</v>
      </c>
      <c r="M207" s="18">
        <v>825060.52</v>
      </c>
      <c r="N207" s="18">
        <v>143613.15</v>
      </c>
    </row>
    <row r="208" spans="1:14">
      <c r="A208" s="20" t="s">
        <v>74</v>
      </c>
      <c r="B208" s="21">
        <v>45689</v>
      </c>
      <c r="C208" s="20" t="s">
        <v>16</v>
      </c>
      <c r="D208" s="20" t="s">
        <v>29</v>
      </c>
      <c r="E208" s="22">
        <v>54300.87</v>
      </c>
      <c r="F208" s="20">
        <v>7875</v>
      </c>
      <c r="G208" s="23">
        <v>0.107</v>
      </c>
      <c r="H208" s="20">
        <v>19</v>
      </c>
      <c r="I208" s="22">
        <v>94.1</v>
      </c>
      <c r="J208" s="22">
        <v>0.95</v>
      </c>
      <c r="K208" s="20">
        <v>0</v>
      </c>
      <c r="L208" s="22">
        <v>3.7</v>
      </c>
      <c r="M208" s="22">
        <v>795464.47</v>
      </c>
      <c r="N208" s="22">
        <v>161150.51999999999</v>
      </c>
    </row>
    <row r="209" spans="1:14">
      <c r="A209" s="16" t="s">
        <v>74</v>
      </c>
      <c r="B209" s="17">
        <v>45717</v>
      </c>
      <c r="C209" s="16" t="s">
        <v>16</v>
      </c>
      <c r="D209" s="16" t="s">
        <v>29</v>
      </c>
      <c r="E209" s="18">
        <v>37983.35</v>
      </c>
      <c r="F209" s="16">
        <v>9283</v>
      </c>
      <c r="G209" s="19">
        <v>0.14899999999999999</v>
      </c>
      <c r="H209" s="16">
        <v>19</v>
      </c>
      <c r="I209" s="18">
        <v>83.2</v>
      </c>
      <c r="J209" s="18">
        <v>3.82</v>
      </c>
      <c r="K209" s="16">
        <v>0</v>
      </c>
      <c r="L209" s="18">
        <v>3.7</v>
      </c>
      <c r="M209" s="18">
        <v>671868.59</v>
      </c>
      <c r="N209" s="18">
        <v>71003.28</v>
      </c>
    </row>
    <row r="210" spans="1:14">
      <c r="A210" s="20" t="s">
        <v>74</v>
      </c>
      <c r="B210" s="21">
        <v>45748</v>
      </c>
      <c r="C210" s="20" t="s">
        <v>16</v>
      </c>
      <c r="D210" s="20" t="s">
        <v>29</v>
      </c>
      <c r="E210" s="22">
        <v>56413.83</v>
      </c>
      <c r="F210" s="20">
        <v>8303</v>
      </c>
      <c r="G210" s="23">
        <v>0.11600000000000001</v>
      </c>
      <c r="H210" s="20">
        <v>18</v>
      </c>
      <c r="I210" s="22">
        <v>93.6</v>
      </c>
      <c r="J210" s="22">
        <v>2.7</v>
      </c>
      <c r="K210" s="20">
        <v>0</v>
      </c>
      <c r="L210" s="22">
        <v>3.7</v>
      </c>
      <c r="M210" s="22">
        <v>675917.63</v>
      </c>
      <c r="N210" s="22">
        <v>112564.75</v>
      </c>
    </row>
    <row r="211" spans="1:14">
      <c r="A211" s="16" t="s">
        <v>75</v>
      </c>
      <c r="B211" s="17">
        <v>45658</v>
      </c>
      <c r="C211" s="16" t="s">
        <v>16</v>
      </c>
      <c r="D211" s="16" t="s">
        <v>19</v>
      </c>
      <c r="E211" s="18">
        <v>63457.19</v>
      </c>
      <c r="F211" s="16">
        <v>10125</v>
      </c>
      <c r="G211" s="19">
        <v>9.7000000000000003E-2</v>
      </c>
      <c r="H211" s="16">
        <v>24</v>
      </c>
      <c r="I211" s="18">
        <v>87</v>
      </c>
      <c r="J211" s="18">
        <v>3.84</v>
      </c>
      <c r="K211" s="16">
        <v>1</v>
      </c>
      <c r="L211" s="18">
        <v>3.7</v>
      </c>
      <c r="M211" s="18">
        <v>810446.53</v>
      </c>
      <c r="N211" s="18">
        <v>200575.34</v>
      </c>
    </row>
    <row r="212" spans="1:14">
      <c r="A212" s="20" t="s">
        <v>75</v>
      </c>
      <c r="B212" s="21">
        <v>45689</v>
      </c>
      <c r="C212" s="20" t="s">
        <v>16</v>
      </c>
      <c r="D212" s="20" t="s">
        <v>19</v>
      </c>
      <c r="E212" s="22">
        <v>62949.7</v>
      </c>
      <c r="F212" s="20">
        <v>9458</v>
      </c>
      <c r="G212" s="23">
        <v>0.17100000000000001</v>
      </c>
      <c r="H212" s="20">
        <v>19</v>
      </c>
      <c r="I212" s="22">
        <v>84.9</v>
      </c>
      <c r="J212" s="22">
        <v>5.09</v>
      </c>
      <c r="K212" s="20">
        <v>0</v>
      </c>
      <c r="L212" s="22">
        <v>3.3</v>
      </c>
      <c r="M212" s="22">
        <v>691288.19</v>
      </c>
      <c r="N212" s="22">
        <v>159074.14000000001</v>
      </c>
    </row>
    <row r="213" spans="1:14">
      <c r="A213" s="16" t="s">
        <v>75</v>
      </c>
      <c r="B213" s="17">
        <v>45717</v>
      </c>
      <c r="C213" s="16" t="s">
        <v>16</v>
      </c>
      <c r="D213" s="16" t="s">
        <v>19</v>
      </c>
      <c r="E213" s="18">
        <v>107970.19</v>
      </c>
      <c r="F213" s="16">
        <v>12870</v>
      </c>
      <c r="G213" s="19">
        <v>2.9000000000000001E-2</v>
      </c>
      <c r="H213" s="16">
        <v>31</v>
      </c>
      <c r="I213" s="18">
        <v>91.7</v>
      </c>
      <c r="J213" s="18">
        <v>3.82</v>
      </c>
      <c r="K213" s="16">
        <v>1</v>
      </c>
      <c r="L213" s="18">
        <v>3.7</v>
      </c>
      <c r="M213" s="18">
        <v>946833.54</v>
      </c>
      <c r="N213" s="18">
        <v>184540.31</v>
      </c>
    </row>
    <row r="214" spans="1:14">
      <c r="A214" s="20" t="s">
        <v>75</v>
      </c>
      <c r="B214" s="21">
        <v>45748</v>
      </c>
      <c r="C214" s="20" t="s">
        <v>16</v>
      </c>
      <c r="D214" s="20" t="s">
        <v>19</v>
      </c>
      <c r="E214" s="22">
        <v>49405.75</v>
      </c>
      <c r="F214" s="20">
        <v>9752</v>
      </c>
      <c r="G214" s="23">
        <v>9.2999999999999999E-2</v>
      </c>
      <c r="H214" s="20">
        <v>21</v>
      </c>
      <c r="I214" s="22">
        <v>87</v>
      </c>
      <c r="J214" s="22">
        <v>12.28</v>
      </c>
      <c r="K214" s="20">
        <v>0</v>
      </c>
      <c r="L214" s="22">
        <v>4.0999999999999996</v>
      </c>
      <c r="M214" s="22">
        <v>761963.23</v>
      </c>
      <c r="N214" s="22">
        <v>150113.60999999999</v>
      </c>
    </row>
    <row r="215" spans="1:14">
      <c r="A215" s="16" t="s">
        <v>76</v>
      </c>
      <c r="B215" s="17">
        <v>45658</v>
      </c>
      <c r="C215" s="16" t="s">
        <v>28</v>
      </c>
      <c r="D215" s="16" t="s">
        <v>17</v>
      </c>
      <c r="E215" s="18">
        <v>50887.46</v>
      </c>
      <c r="F215" s="16">
        <v>9505</v>
      </c>
      <c r="G215" s="19">
        <v>9.0999999999999998E-2</v>
      </c>
      <c r="H215" s="16">
        <v>25</v>
      </c>
      <c r="I215" s="18">
        <v>89.7</v>
      </c>
      <c r="J215" s="18">
        <v>2.8</v>
      </c>
      <c r="K215" s="16">
        <v>0</v>
      </c>
      <c r="L215" s="18">
        <v>4.3</v>
      </c>
      <c r="M215" s="18">
        <v>812152.6</v>
      </c>
      <c r="N215" s="18">
        <v>138419.43</v>
      </c>
    </row>
    <row r="216" spans="1:14">
      <c r="A216" s="20" t="s">
        <v>76</v>
      </c>
      <c r="B216" s="21">
        <v>45689</v>
      </c>
      <c r="C216" s="20" t="s">
        <v>28</v>
      </c>
      <c r="D216" s="20" t="s">
        <v>17</v>
      </c>
      <c r="E216" s="22">
        <v>41819.449999999997</v>
      </c>
      <c r="F216" s="20">
        <v>9412</v>
      </c>
      <c r="G216" s="23">
        <v>0.15</v>
      </c>
      <c r="H216" s="20">
        <v>22</v>
      </c>
      <c r="I216" s="22">
        <v>91</v>
      </c>
      <c r="J216" s="22">
        <v>3.67</v>
      </c>
      <c r="K216" s="20">
        <v>0</v>
      </c>
      <c r="L216" s="22">
        <v>4.2</v>
      </c>
      <c r="M216" s="22">
        <v>804975.5</v>
      </c>
      <c r="N216" s="22">
        <v>140054.5</v>
      </c>
    </row>
    <row r="217" spans="1:14">
      <c r="A217" s="16" t="s">
        <v>76</v>
      </c>
      <c r="B217" s="17">
        <v>45717</v>
      </c>
      <c r="C217" s="16" t="s">
        <v>28</v>
      </c>
      <c r="D217" s="16" t="s">
        <v>17</v>
      </c>
      <c r="E217" s="18">
        <v>35296.54</v>
      </c>
      <c r="F217" s="16">
        <v>9644</v>
      </c>
      <c r="G217" s="19">
        <v>0</v>
      </c>
      <c r="H217" s="16">
        <v>22</v>
      </c>
      <c r="I217" s="18">
        <v>88</v>
      </c>
      <c r="J217" s="18">
        <v>2.81</v>
      </c>
      <c r="K217" s="16">
        <v>0</v>
      </c>
      <c r="L217" s="18">
        <v>4.7</v>
      </c>
      <c r="M217" s="18">
        <v>752321.72</v>
      </c>
      <c r="N217" s="18">
        <v>137788.51</v>
      </c>
    </row>
    <row r="218" spans="1:14">
      <c r="A218" s="20" t="s">
        <v>76</v>
      </c>
      <c r="B218" s="21">
        <v>45748</v>
      </c>
      <c r="C218" s="20" t="s">
        <v>28</v>
      </c>
      <c r="D218" s="20" t="s">
        <v>17</v>
      </c>
      <c r="E218" s="22">
        <v>47391.09</v>
      </c>
      <c r="F218" s="20">
        <v>11224</v>
      </c>
      <c r="G218" s="23">
        <v>0.14699999999999999</v>
      </c>
      <c r="H218" s="20">
        <v>25</v>
      </c>
      <c r="I218" s="22">
        <v>88.4</v>
      </c>
      <c r="J218" s="22">
        <v>2.44</v>
      </c>
      <c r="K218" s="20">
        <v>0</v>
      </c>
      <c r="L218" s="22">
        <v>4.9000000000000004</v>
      </c>
      <c r="M218" s="22">
        <v>836908.24</v>
      </c>
      <c r="N218" s="22">
        <v>141090.26</v>
      </c>
    </row>
    <row r="219" spans="1:14">
      <c r="A219" s="16" t="s">
        <v>77</v>
      </c>
      <c r="B219" s="17">
        <v>45658</v>
      </c>
      <c r="C219" s="16" t="s">
        <v>21</v>
      </c>
      <c r="D219" s="16" t="s">
        <v>22</v>
      </c>
      <c r="E219" s="18">
        <v>69180.539999999994</v>
      </c>
      <c r="F219" s="16">
        <v>5394</v>
      </c>
      <c r="G219" s="19">
        <v>0.126</v>
      </c>
      <c r="H219" s="16">
        <v>12</v>
      </c>
      <c r="I219" s="18">
        <v>82.9</v>
      </c>
      <c r="J219" s="18">
        <v>3.27</v>
      </c>
      <c r="K219" s="16">
        <v>0</v>
      </c>
      <c r="L219" s="18">
        <v>3.3</v>
      </c>
      <c r="M219" s="18">
        <v>674289.1</v>
      </c>
      <c r="N219" s="18">
        <v>117773.79</v>
      </c>
    </row>
    <row r="220" spans="1:14">
      <c r="A220" s="20" t="s">
        <v>77</v>
      </c>
      <c r="B220" s="21">
        <v>45689</v>
      </c>
      <c r="C220" s="20" t="s">
        <v>21</v>
      </c>
      <c r="D220" s="20" t="s">
        <v>22</v>
      </c>
      <c r="E220" s="22">
        <v>33987.33</v>
      </c>
      <c r="F220" s="20">
        <v>5014</v>
      </c>
      <c r="G220" s="23">
        <v>0.246</v>
      </c>
      <c r="H220" s="20">
        <v>17</v>
      </c>
      <c r="I220" s="22">
        <v>94.3</v>
      </c>
      <c r="J220" s="22">
        <v>10.34</v>
      </c>
      <c r="K220" s="20">
        <v>0</v>
      </c>
      <c r="L220" s="22">
        <v>3.9</v>
      </c>
      <c r="M220" s="22">
        <v>622892.42000000004</v>
      </c>
      <c r="N220" s="22">
        <v>101032.52</v>
      </c>
    </row>
    <row r="221" spans="1:14">
      <c r="A221" s="16" t="s">
        <v>77</v>
      </c>
      <c r="B221" s="17">
        <v>45717</v>
      </c>
      <c r="C221" s="16" t="s">
        <v>21</v>
      </c>
      <c r="D221" s="16" t="s">
        <v>22</v>
      </c>
      <c r="E221" s="18">
        <v>58785.33</v>
      </c>
      <c r="F221" s="16">
        <v>4467</v>
      </c>
      <c r="G221" s="19">
        <v>0.22900000000000001</v>
      </c>
      <c r="H221" s="16">
        <v>14</v>
      </c>
      <c r="I221" s="18">
        <v>90.7</v>
      </c>
      <c r="J221" s="18">
        <v>1.92</v>
      </c>
      <c r="K221" s="16">
        <v>0</v>
      </c>
      <c r="L221" s="18">
        <v>3.7</v>
      </c>
      <c r="M221" s="18">
        <v>673348.56</v>
      </c>
      <c r="N221" s="18">
        <v>69464.59</v>
      </c>
    </row>
    <row r="222" spans="1:14">
      <c r="A222" s="20" t="s">
        <v>77</v>
      </c>
      <c r="B222" s="21">
        <v>45748</v>
      </c>
      <c r="C222" s="20" t="s">
        <v>21</v>
      </c>
      <c r="D222" s="20" t="s">
        <v>22</v>
      </c>
      <c r="E222" s="22">
        <v>16451.849999999999</v>
      </c>
      <c r="F222" s="20">
        <v>4678</v>
      </c>
      <c r="G222" s="23">
        <v>0.13300000000000001</v>
      </c>
      <c r="H222" s="20">
        <v>11</v>
      </c>
      <c r="I222" s="22">
        <v>95.9</v>
      </c>
      <c r="J222" s="22">
        <v>3.1</v>
      </c>
      <c r="K222" s="20">
        <v>0</v>
      </c>
      <c r="L222" s="22">
        <v>3.9</v>
      </c>
      <c r="M222" s="22">
        <v>606278.30000000005</v>
      </c>
      <c r="N222" s="22">
        <v>102213.26</v>
      </c>
    </row>
    <row r="223" spans="1:14">
      <c r="A223" s="16" t="s">
        <v>78</v>
      </c>
      <c r="B223" s="17">
        <v>45658</v>
      </c>
      <c r="C223" s="16" t="s">
        <v>16</v>
      </c>
      <c r="D223" s="16" t="s">
        <v>19</v>
      </c>
      <c r="E223" s="18">
        <v>53367.73</v>
      </c>
      <c r="F223" s="16">
        <v>7291</v>
      </c>
      <c r="G223" s="19">
        <v>0.14599999999999999</v>
      </c>
      <c r="H223" s="16">
        <v>18</v>
      </c>
      <c r="I223" s="18">
        <v>90.6</v>
      </c>
      <c r="J223" s="18">
        <v>6.34</v>
      </c>
      <c r="K223" s="16">
        <v>1</v>
      </c>
      <c r="L223" s="18">
        <v>3.8</v>
      </c>
      <c r="M223" s="18">
        <v>712219.81</v>
      </c>
      <c r="N223" s="18">
        <v>85906.54</v>
      </c>
    </row>
    <row r="224" spans="1:14">
      <c r="A224" s="20" t="s">
        <v>78</v>
      </c>
      <c r="B224" s="21">
        <v>45689</v>
      </c>
      <c r="C224" s="20" t="s">
        <v>16</v>
      </c>
      <c r="D224" s="20" t="s">
        <v>19</v>
      </c>
      <c r="E224" s="22">
        <v>27194.639999999999</v>
      </c>
      <c r="F224" s="20">
        <v>7404</v>
      </c>
      <c r="G224" s="23">
        <v>8.7999999999999995E-2</v>
      </c>
      <c r="H224" s="20">
        <v>18</v>
      </c>
      <c r="I224" s="22">
        <v>90.2</v>
      </c>
      <c r="J224" s="22">
        <v>1.2</v>
      </c>
      <c r="K224" s="20">
        <v>0</v>
      </c>
      <c r="L224" s="22">
        <v>3.4</v>
      </c>
      <c r="M224" s="22">
        <v>672670.54</v>
      </c>
      <c r="N224" s="22">
        <v>132684.18</v>
      </c>
    </row>
    <row r="225" spans="1:14">
      <c r="A225" s="16" t="s">
        <v>78</v>
      </c>
      <c r="B225" s="17">
        <v>45717</v>
      </c>
      <c r="C225" s="16" t="s">
        <v>16</v>
      </c>
      <c r="D225" s="16" t="s">
        <v>19</v>
      </c>
      <c r="E225" s="18">
        <v>66962.740000000005</v>
      </c>
      <c r="F225" s="16">
        <v>7880</v>
      </c>
      <c r="G225" s="19">
        <v>0.11600000000000001</v>
      </c>
      <c r="H225" s="16">
        <v>19</v>
      </c>
      <c r="I225" s="18">
        <v>90.4</v>
      </c>
      <c r="J225" s="18">
        <v>4.5</v>
      </c>
      <c r="K225" s="16">
        <v>0</v>
      </c>
      <c r="L225" s="18">
        <v>3.3</v>
      </c>
      <c r="M225" s="18">
        <v>732667.92</v>
      </c>
      <c r="N225" s="18">
        <v>128654.46</v>
      </c>
    </row>
    <row r="226" spans="1:14">
      <c r="A226" s="20" t="s">
        <v>78</v>
      </c>
      <c r="B226" s="21">
        <v>45748</v>
      </c>
      <c r="C226" s="20" t="s">
        <v>16</v>
      </c>
      <c r="D226" s="20" t="s">
        <v>19</v>
      </c>
      <c r="E226" s="22">
        <v>73540.990000000005</v>
      </c>
      <c r="F226" s="20">
        <v>8773</v>
      </c>
      <c r="G226" s="23">
        <v>3.5000000000000003E-2</v>
      </c>
      <c r="H226" s="20">
        <v>21</v>
      </c>
      <c r="I226" s="22">
        <v>84.4</v>
      </c>
      <c r="J226" s="22">
        <v>6.68</v>
      </c>
      <c r="K226" s="20">
        <v>0</v>
      </c>
      <c r="L226" s="22">
        <v>3.6</v>
      </c>
      <c r="M226" s="22">
        <v>723531.4</v>
      </c>
      <c r="N226" s="22">
        <v>108794.85</v>
      </c>
    </row>
    <row r="227" spans="1:14">
      <c r="A227" s="16" t="s">
        <v>79</v>
      </c>
      <c r="B227" s="17">
        <v>45658</v>
      </c>
      <c r="C227" s="16" t="s">
        <v>16</v>
      </c>
      <c r="D227" s="16" t="s">
        <v>29</v>
      </c>
      <c r="E227" s="18">
        <v>68212.289999999994</v>
      </c>
      <c r="F227" s="16">
        <v>4713</v>
      </c>
      <c r="G227" s="19">
        <v>0.19800000000000001</v>
      </c>
      <c r="H227" s="16">
        <v>15</v>
      </c>
      <c r="I227" s="18">
        <v>82.6</v>
      </c>
      <c r="J227" s="18">
        <v>4.07</v>
      </c>
      <c r="K227" s="16">
        <v>1</v>
      </c>
      <c r="L227" s="18">
        <v>3</v>
      </c>
      <c r="M227" s="18">
        <v>641564.6</v>
      </c>
      <c r="N227" s="18">
        <v>90468.96</v>
      </c>
    </row>
    <row r="228" spans="1:14">
      <c r="A228" s="20" t="s">
        <v>79</v>
      </c>
      <c r="B228" s="21">
        <v>45689</v>
      </c>
      <c r="C228" s="20" t="s">
        <v>16</v>
      </c>
      <c r="D228" s="20" t="s">
        <v>29</v>
      </c>
      <c r="E228" s="22">
        <v>57225.98</v>
      </c>
      <c r="F228" s="20">
        <v>2842</v>
      </c>
      <c r="G228" s="23">
        <v>0.112</v>
      </c>
      <c r="H228" s="20">
        <v>10</v>
      </c>
      <c r="I228" s="22">
        <v>79.5</v>
      </c>
      <c r="J228" s="22">
        <v>5.45</v>
      </c>
      <c r="K228" s="20">
        <v>0</v>
      </c>
      <c r="L228" s="22">
        <v>3.4</v>
      </c>
      <c r="M228" s="22">
        <v>536545.49</v>
      </c>
      <c r="N228" s="22">
        <v>97917.45</v>
      </c>
    </row>
    <row r="229" spans="1:14">
      <c r="A229" s="16" t="s">
        <v>79</v>
      </c>
      <c r="B229" s="17">
        <v>45717</v>
      </c>
      <c r="C229" s="16" t="s">
        <v>16</v>
      </c>
      <c r="D229" s="16" t="s">
        <v>29</v>
      </c>
      <c r="E229" s="18">
        <v>42932.02</v>
      </c>
      <c r="F229" s="16">
        <v>3872</v>
      </c>
      <c r="G229" s="19">
        <v>0.17100000000000001</v>
      </c>
      <c r="H229" s="16">
        <v>12</v>
      </c>
      <c r="I229" s="18">
        <v>83.2</v>
      </c>
      <c r="J229" s="18">
        <v>15.58</v>
      </c>
      <c r="K229" s="16">
        <v>0</v>
      </c>
      <c r="L229" s="18">
        <v>3.3</v>
      </c>
      <c r="M229" s="18">
        <v>527681.56000000006</v>
      </c>
      <c r="N229" s="18">
        <v>63153.05</v>
      </c>
    </row>
    <row r="230" spans="1:14">
      <c r="A230" s="20" t="s">
        <v>79</v>
      </c>
      <c r="B230" s="21">
        <v>45748</v>
      </c>
      <c r="C230" s="20" t="s">
        <v>16</v>
      </c>
      <c r="D230" s="20" t="s">
        <v>29</v>
      </c>
      <c r="E230" s="22">
        <v>39341.449999999997</v>
      </c>
      <c r="F230" s="20">
        <v>1375</v>
      </c>
      <c r="G230" s="23">
        <v>9.2999999999999999E-2</v>
      </c>
      <c r="H230" s="20">
        <v>5</v>
      </c>
      <c r="I230" s="22">
        <v>95</v>
      </c>
      <c r="J230" s="22">
        <v>5.32</v>
      </c>
      <c r="K230" s="20">
        <v>0</v>
      </c>
      <c r="L230" s="24"/>
      <c r="M230" s="22">
        <v>529598.93999999994</v>
      </c>
      <c r="N230" s="22">
        <v>84334.33</v>
      </c>
    </row>
    <row r="231" spans="1:14">
      <c r="A231" s="16" t="s">
        <v>80</v>
      </c>
      <c r="B231" s="17">
        <v>45658</v>
      </c>
      <c r="C231" s="16" t="s">
        <v>16</v>
      </c>
      <c r="D231" s="16" t="s">
        <v>19</v>
      </c>
      <c r="E231" s="18">
        <v>37324.230000000003</v>
      </c>
      <c r="F231" s="16">
        <v>5957</v>
      </c>
      <c r="G231" s="19">
        <v>7.0999999999999994E-2</v>
      </c>
      <c r="H231" s="16">
        <v>12</v>
      </c>
      <c r="I231" s="18">
        <v>85.9</v>
      </c>
      <c r="J231" s="18">
        <v>0.37</v>
      </c>
      <c r="K231" s="16">
        <v>0</v>
      </c>
      <c r="L231" s="18">
        <v>3.8</v>
      </c>
      <c r="M231" s="18">
        <v>570963.31000000006</v>
      </c>
      <c r="N231" s="18">
        <v>87342.25</v>
      </c>
    </row>
    <row r="232" spans="1:14">
      <c r="A232" s="20" t="s">
        <v>80</v>
      </c>
      <c r="B232" s="21">
        <v>45689</v>
      </c>
      <c r="C232" s="20" t="s">
        <v>16</v>
      </c>
      <c r="D232" s="20" t="s">
        <v>19</v>
      </c>
      <c r="E232" s="22">
        <v>113736</v>
      </c>
      <c r="F232" s="20">
        <v>8961</v>
      </c>
      <c r="G232" s="23">
        <v>0.20200000000000001</v>
      </c>
      <c r="H232" s="20">
        <v>24</v>
      </c>
      <c r="I232" s="22">
        <v>86.2</v>
      </c>
      <c r="J232" s="22">
        <v>21.63</v>
      </c>
      <c r="K232" s="20">
        <v>0</v>
      </c>
      <c r="L232" s="22">
        <v>4</v>
      </c>
      <c r="M232" s="22">
        <v>870937.4</v>
      </c>
      <c r="N232" s="22">
        <v>175282.74</v>
      </c>
    </row>
    <row r="233" spans="1:14">
      <c r="A233" s="16" t="s">
        <v>80</v>
      </c>
      <c r="B233" s="17">
        <v>45717</v>
      </c>
      <c r="C233" s="16" t="s">
        <v>16</v>
      </c>
      <c r="D233" s="16" t="s">
        <v>19</v>
      </c>
      <c r="E233" s="18">
        <v>33173.949999999997</v>
      </c>
      <c r="F233" s="16">
        <v>6545</v>
      </c>
      <c r="G233" s="19">
        <v>0.16900000000000001</v>
      </c>
      <c r="H233" s="16">
        <v>15</v>
      </c>
      <c r="I233" s="18">
        <v>84.4</v>
      </c>
      <c r="J233" s="18">
        <v>2.48</v>
      </c>
      <c r="K233" s="16">
        <v>0</v>
      </c>
      <c r="L233" s="18">
        <v>3.9</v>
      </c>
      <c r="M233" s="18">
        <v>596969.27</v>
      </c>
      <c r="N233" s="18">
        <v>105669.51</v>
      </c>
    </row>
    <row r="234" spans="1:14">
      <c r="A234" s="20" t="s">
        <v>80</v>
      </c>
      <c r="B234" s="21">
        <v>45748</v>
      </c>
      <c r="C234" s="20" t="s">
        <v>16</v>
      </c>
      <c r="D234" s="20" t="s">
        <v>19</v>
      </c>
      <c r="E234" s="22">
        <v>25818.080000000002</v>
      </c>
      <c r="F234" s="20">
        <v>5457</v>
      </c>
      <c r="G234" s="23">
        <v>0</v>
      </c>
      <c r="H234" s="20">
        <v>11</v>
      </c>
      <c r="I234" s="22">
        <v>95.4</v>
      </c>
      <c r="J234" s="24"/>
      <c r="K234" s="20">
        <v>0</v>
      </c>
      <c r="L234" s="22">
        <v>3.7</v>
      </c>
      <c r="M234" s="22">
        <v>647512.85</v>
      </c>
      <c r="N234" s="22">
        <v>153835.57</v>
      </c>
    </row>
    <row r="235" spans="1:14">
      <c r="A235" s="16" t="s">
        <v>81</v>
      </c>
      <c r="B235" s="17">
        <v>45658</v>
      </c>
      <c r="C235" s="16" t="s">
        <v>28</v>
      </c>
      <c r="D235" s="16" t="s">
        <v>17</v>
      </c>
      <c r="E235" s="18">
        <v>47241.919999999998</v>
      </c>
      <c r="F235" s="16">
        <v>4264</v>
      </c>
      <c r="G235" s="19">
        <v>6.9000000000000006E-2</v>
      </c>
      <c r="H235" s="16">
        <v>13</v>
      </c>
      <c r="I235" s="18">
        <v>95.3</v>
      </c>
      <c r="J235" s="18">
        <v>0.85</v>
      </c>
      <c r="K235" s="16">
        <v>0</v>
      </c>
      <c r="L235" s="18">
        <v>4.3</v>
      </c>
      <c r="M235" s="18">
        <v>658072.14</v>
      </c>
      <c r="N235" s="18">
        <v>110595.89</v>
      </c>
    </row>
    <row r="236" spans="1:14">
      <c r="A236" s="20" t="s">
        <v>81</v>
      </c>
      <c r="B236" s="21">
        <v>45689</v>
      </c>
      <c r="C236" s="20" t="s">
        <v>28</v>
      </c>
      <c r="D236" s="20" t="s">
        <v>17</v>
      </c>
      <c r="E236" s="22">
        <v>61650.79</v>
      </c>
      <c r="F236" s="20">
        <v>5321</v>
      </c>
      <c r="G236" s="23">
        <v>0.126</v>
      </c>
      <c r="H236" s="20">
        <v>17</v>
      </c>
      <c r="I236" s="22">
        <v>89.2</v>
      </c>
      <c r="J236" s="22">
        <v>2.13</v>
      </c>
      <c r="K236" s="20">
        <v>0</v>
      </c>
      <c r="L236" s="22">
        <v>4</v>
      </c>
      <c r="M236" s="22">
        <v>723305.11</v>
      </c>
      <c r="N236" s="22">
        <v>128468.7</v>
      </c>
    </row>
    <row r="237" spans="1:14">
      <c r="A237" s="16" t="s">
        <v>81</v>
      </c>
      <c r="B237" s="17">
        <v>45717</v>
      </c>
      <c r="C237" s="16" t="s">
        <v>28</v>
      </c>
      <c r="D237" s="16" t="s">
        <v>17</v>
      </c>
      <c r="E237" s="18">
        <v>62582.71</v>
      </c>
      <c r="F237" s="16">
        <v>5479</v>
      </c>
      <c r="G237" s="19">
        <v>4.8000000000000001E-2</v>
      </c>
      <c r="H237" s="16">
        <v>16</v>
      </c>
      <c r="I237" s="18">
        <v>81.2</v>
      </c>
      <c r="J237" s="18">
        <v>1.46</v>
      </c>
      <c r="K237" s="16">
        <v>0</v>
      </c>
      <c r="L237" s="18">
        <v>4.5</v>
      </c>
      <c r="M237" s="18">
        <v>640666.53</v>
      </c>
      <c r="N237" s="18">
        <v>134919.16</v>
      </c>
    </row>
    <row r="238" spans="1:14">
      <c r="A238" s="20" t="s">
        <v>81</v>
      </c>
      <c r="B238" s="21">
        <v>45748</v>
      </c>
      <c r="C238" s="20" t="s">
        <v>28</v>
      </c>
      <c r="D238" s="20" t="s">
        <v>17</v>
      </c>
      <c r="E238" s="22">
        <v>47944.14</v>
      </c>
      <c r="F238" s="20">
        <v>6169</v>
      </c>
      <c r="G238" s="23">
        <v>0.11899999999999999</v>
      </c>
      <c r="H238" s="20">
        <v>17</v>
      </c>
      <c r="I238" s="22">
        <v>92.2</v>
      </c>
      <c r="J238" s="22">
        <v>3.02</v>
      </c>
      <c r="K238" s="20">
        <v>0</v>
      </c>
      <c r="L238" s="22">
        <v>4.0999999999999996</v>
      </c>
      <c r="M238" s="22">
        <v>670629.48</v>
      </c>
      <c r="N238" s="22">
        <v>100140.8</v>
      </c>
    </row>
    <row r="239" spans="1:14">
      <c r="A239" s="16" t="s">
        <v>82</v>
      </c>
      <c r="B239" s="17">
        <v>45658</v>
      </c>
      <c r="C239" s="16" t="s">
        <v>28</v>
      </c>
      <c r="D239" s="16" t="s">
        <v>29</v>
      </c>
      <c r="E239" s="18">
        <v>46495.4</v>
      </c>
      <c r="F239" s="16">
        <v>9908</v>
      </c>
      <c r="G239" s="19">
        <v>0.121</v>
      </c>
      <c r="H239" s="16">
        <v>22</v>
      </c>
      <c r="I239" s="18">
        <v>89.4</v>
      </c>
      <c r="J239" s="18">
        <v>3.22</v>
      </c>
      <c r="K239" s="16">
        <v>0</v>
      </c>
      <c r="L239" s="18">
        <v>3.7</v>
      </c>
      <c r="M239" s="18">
        <v>721079.35</v>
      </c>
      <c r="N239" s="18">
        <v>115295.05</v>
      </c>
    </row>
    <row r="240" spans="1:14">
      <c r="A240" s="20" t="s">
        <v>82</v>
      </c>
      <c r="B240" s="21">
        <v>45689</v>
      </c>
      <c r="C240" s="20" t="s">
        <v>28</v>
      </c>
      <c r="D240" s="20" t="s">
        <v>29</v>
      </c>
      <c r="E240" s="22">
        <v>72961.95</v>
      </c>
      <c r="F240" s="20">
        <v>9996</v>
      </c>
      <c r="G240" s="23">
        <v>0.106</v>
      </c>
      <c r="H240" s="20">
        <v>22</v>
      </c>
      <c r="I240" s="22">
        <v>89.1</v>
      </c>
      <c r="J240" s="22">
        <v>15.66</v>
      </c>
      <c r="K240" s="20">
        <v>0</v>
      </c>
      <c r="L240" s="22">
        <v>3.4</v>
      </c>
      <c r="M240" s="22">
        <v>810355.02</v>
      </c>
      <c r="N240" s="22">
        <v>131510</v>
      </c>
    </row>
    <row r="241" spans="1:14">
      <c r="A241" s="16" t="s">
        <v>82</v>
      </c>
      <c r="B241" s="17">
        <v>45717</v>
      </c>
      <c r="C241" s="16" t="s">
        <v>28</v>
      </c>
      <c r="D241" s="16" t="s">
        <v>29</v>
      </c>
      <c r="E241" s="18">
        <v>59060.05</v>
      </c>
      <c r="F241" s="16">
        <v>9702</v>
      </c>
      <c r="G241" s="19">
        <v>0.20100000000000001</v>
      </c>
      <c r="H241" s="16">
        <v>23</v>
      </c>
      <c r="I241" s="18">
        <v>80.900000000000006</v>
      </c>
      <c r="J241" s="18">
        <v>6.96</v>
      </c>
      <c r="K241" s="16">
        <v>0</v>
      </c>
      <c r="L241" s="18">
        <v>3.2</v>
      </c>
      <c r="M241" s="18">
        <v>761919.25</v>
      </c>
      <c r="N241" s="18">
        <v>111893.06</v>
      </c>
    </row>
    <row r="242" spans="1:14">
      <c r="A242" s="20" t="s">
        <v>82</v>
      </c>
      <c r="B242" s="21">
        <v>45748</v>
      </c>
      <c r="C242" s="20" t="s">
        <v>28</v>
      </c>
      <c r="D242" s="20" t="s">
        <v>29</v>
      </c>
      <c r="E242" s="22">
        <v>26248.1</v>
      </c>
      <c r="F242" s="20">
        <v>9314</v>
      </c>
      <c r="G242" s="23">
        <v>0.186</v>
      </c>
      <c r="H242" s="20">
        <v>21</v>
      </c>
      <c r="I242" s="22">
        <v>83.7</v>
      </c>
      <c r="J242" s="22">
        <v>4.62</v>
      </c>
      <c r="K242" s="20">
        <v>0</v>
      </c>
      <c r="L242" s="22">
        <v>3.3</v>
      </c>
      <c r="M242" s="22">
        <v>737070.18</v>
      </c>
      <c r="N242" s="22">
        <v>117593.97</v>
      </c>
    </row>
    <row r="243" spans="1:14">
      <c r="A243" s="16" t="s">
        <v>83</v>
      </c>
      <c r="B243" s="17">
        <v>45658</v>
      </c>
      <c r="C243" s="16" t="s">
        <v>25</v>
      </c>
      <c r="D243" s="16" t="s">
        <v>22</v>
      </c>
      <c r="E243" s="18">
        <v>69900.12</v>
      </c>
      <c r="F243" s="16">
        <v>8055</v>
      </c>
      <c r="G243" s="19">
        <v>0.28100000000000003</v>
      </c>
      <c r="H243" s="16">
        <v>22</v>
      </c>
      <c r="I243" s="18">
        <v>85.6</v>
      </c>
      <c r="J243" s="18">
        <v>10.68</v>
      </c>
      <c r="K243" s="16">
        <v>1</v>
      </c>
      <c r="L243" s="18">
        <v>2.9</v>
      </c>
      <c r="M243" s="18">
        <v>776992.93</v>
      </c>
      <c r="N243" s="18">
        <v>101598.32</v>
      </c>
    </row>
    <row r="244" spans="1:14">
      <c r="A244" s="20" t="s">
        <v>83</v>
      </c>
      <c r="B244" s="21">
        <v>45689</v>
      </c>
      <c r="C244" s="20" t="s">
        <v>25</v>
      </c>
      <c r="D244" s="20" t="s">
        <v>22</v>
      </c>
      <c r="E244" s="22">
        <v>51781.599999999999</v>
      </c>
      <c r="F244" s="20">
        <v>5648</v>
      </c>
      <c r="G244" s="23">
        <v>5.8999999999999997E-2</v>
      </c>
      <c r="H244" s="20">
        <v>13</v>
      </c>
      <c r="I244" s="22">
        <v>85.5</v>
      </c>
      <c r="J244" s="22">
        <v>4.04</v>
      </c>
      <c r="K244" s="20">
        <v>0</v>
      </c>
      <c r="L244" s="22">
        <v>3.7</v>
      </c>
      <c r="M244" s="22">
        <v>676337.41</v>
      </c>
      <c r="N244" s="22">
        <v>104355.77</v>
      </c>
    </row>
    <row r="245" spans="1:14">
      <c r="A245" s="16" t="s">
        <v>83</v>
      </c>
      <c r="B245" s="17">
        <v>45717</v>
      </c>
      <c r="C245" s="16" t="s">
        <v>25</v>
      </c>
      <c r="D245" s="16" t="s">
        <v>22</v>
      </c>
      <c r="E245" s="18">
        <v>70799.64</v>
      </c>
      <c r="F245" s="16">
        <v>10076</v>
      </c>
      <c r="G245" s="19">
        <v>0.152</v>
      </c>
      <c r="H245" s="16">
        <v>24</v>
      </c>
      <c r="I245" s="18">
        <v>84.8</v>
      </c>
      <c r="J245" s="18">
        <v>1.87</v>
      </c>
      <c r="K245" s="16">
        <v>0</v>
      </c>
      <c r="L245" s="18">
        <v>3.5</v>
      </c>
      <c r="M245" s="18">
        <v>828219.67</v>
      </c>
      <c r="N245" s="18">
        <v>179806.87</v>
      </c>
    </row>
    <row r="246" spans="1:14">
      <c r="A246" s="20" t="s">
        <v>83</v>
      </c>
      <c r="B246" s="21">
        <v>45748</v>
      </c>
      <c r="C246" s="20" t="s">
        <v>25</v>
      </c>
      <c r="D246" s="20" t="s">
        <v>22</v>
      </c>
      <c r="E246" s="22">
        <v>53546.34</v>
      </c>
      <c r="F246" s="20">
        <v>8004</v>
      </c>
      <c r="G246" s="23">
        <v>0</v>
      </c>
      <c r="H246" s="20">
        <v>21</v>
      </c>
      <c r="I246" s="22">
        <v>95.2</v>
      </c>
      <c r="J246" s="22">
        <v>2.83</v>
      </c>
      <c r="K246" s="20">
        <v>0</v>
      </c>
      <c r="L246" s="22">
        <v>3</v>
      </c>
      <c r="M246" s="22">
        <v>763159.92</v>
      </c>
      <c r="N246" s="22">
        <v>177104.87</v>
      </c>
    </row>
    <row r="247" spans="1:14">
      <c r="A247" s="16" t="s">
        <v>84</v>
      </c>
      <c r="B247" s="17">
        <v>45658</v>
      </c>
      <c r="C247" s="16" t="s">
        <v>16</v>
      </c>
      <c r="D247" s="16" t="s">
        <v>19</v>
      </c>
      <c r="E247" s="18">
        <v>76942.2</v>
      </c>
      <c r="F247" s="16">
        <v>8934</v>
      </c>
      <c r="G247" s="19">
        <v>8.4000000000000005E-2</v>
      </c>
      <c r="H247" s="16">
        <v>20</v>
      </c>
      <c r="I247" s="18">
        <v>91</v>
      </c>
      <c r="J247" s="18">
        <v>0.95</v>
      </c>
      <c r="K247" s="16">
        <v>0</v>
      </c>
      <c r="L247" s="18">
        <v>3.2</v>
      </c>
      <c r="M247" s="18">
        <v>802001.68</v>
      </c>
      <c r="N247" s="18">
        <v>159715.82</v>
      </c>
    </row>
    <row r="248" spans="1:14">
      <c r="A248" s="20" t="s">
        <v>84</v>
      </c>
      <c r="B248" s="21">
        <v>45689</v>
      </c>
      <c r="C248" s="20" t="s">
        <v>16</v>
      </c>
      <c r="D248" s="20" t="s">
        <v>19</v>
      </c>
      <c r="E248" s="22">
        <v>48060.78</v>
      </c>
      <c r="F248" s="20">
        <v>8733</v>
      </c>
      <c r="G248" s="23">
        <v>0</v>
      </c>
      <c r="H248" s="20">
        <v>20</v>
      </c>
      <c r="I248" s="22">
        <v>89.9</v>
      </c>
      <c r="J248" s="22">
        <v>0.8</v>
      </c>
      <c r="K248" s="20">
        <v>0</v>
      </c>
      <c r="L248" s="22">
        <v>3.4</v>
      </c>
      <c r="M248" s="22">
        <v>750471.34</v>
      </c>
      <c r="N248" s="22">
        <v>133788.04</v>
      </c>
    </row>
    <row r="249" spans="1:14">
      <c r="A249" s="16" t="s">
        <v>84</v>
      </c>
      <c r="B249" s="17">
        <v>45717</v>
      </c>
      <c r="C249" s="16" t="s">
        <v>16</v>
      </c>
      <c r="D249" s="16" t="s">
        <v>19</v>
      </c>
      <c r="E249" s="18">
        <v>57390.04</v>
      </c>
      <c r="F249" s="16">
        <v>7374</v>
      </c>
      <c r="G249" s="19">
        <v>0.21</v>
      </c>
      <c r="H249" s="16">
        <v>21</v>
      </c>
      <c r="I249" s="18">
        <v>91.8</v>
      </c>
      <c r="J249" s="18">
        <v>0.2</v>
      </c>
      <c r="K249" s="16">
        <v>0</v>
      </c>
      <c r="L249" s="18">
        <v>3.1</v>
      </c>
      <c r="M249" s="18">
        <v>679230.86</v>
      </c>
      <c r="N249" s="18">
        <v>106927.58</v>
      </c>
    </row>
    <row r="250" spans="1:14">
      <c r="A250" s="20" t="s">
        <v>84</v>
      </c>
      <c r="B250" s="21">
        <v>45748</v>
      </c>
      <c r="C250" s="20" t="s">
        <v>16</v>
      </c>
      <c r="D250" s="20" t="s">
        <v>19</v>
      </c>
      <c r="E250" s="22">
        <v>21536.18</v>
      </c>
      <c r="F250" s="20">
        <v>8119</v>
      </c>
      <c r="G250" s="23">
        <v>0.22700000000000001</v>
      </c>
      <c r="H250" s="20">
        <v>20</v>
      </c>
      <c r="I250" s="22">
        <v>90.4</v>
      </c>
      <c r="J250" s="22">
        <v>1.7</v>
      </c>
      <c r="K250" s="20">
        <v>0</v>
      </c>
      <c r="L250" s="22">
        <v>3.3</v>
      </c>
      <c r="M250" s="22">
        <v>679888.74</v>
      </c>
      <c r="N250" s="22">
        <v>83406.89</v>
      </c>
    </row>
    <row r="251" spans="1:14">
      <c r="A251" s="16" t="s">
        <v>85</v>
      </c>
      <c r="B251" s="17">
        <v>45658</v>
      </c>
      <c r="C251" s="16" t="s">
        <v>21</v>
      </c>
      <c r="D251" s="16" t="s">
        <v>19</v>
      </c>
      <c r="E251" s="18">
        <v>40923.67</v>
      </c>
      <c r="F251" s="16">
        <v>3875</v>
      </c>
      <c r="G251" s="19">
        <v>0.15</v>
      </c>
      <c r="H251" s="16">
        <v>10</v>
      </c>
      <c r="I251" s="18">
        <v>96.1</v>
      </c>
      <c r="J251" s="24"/>
      <c r="K251" s="16">
        <v>0</v>
      </c>
      <c r="L251" s="18">
        <v>3.8</v>
      </c>
      <c r="M251" s="18">
        <v>606783.67000000004</v>
      </c>
      <c r="N251" s="18">
        <v>74515.87</v>
      </c>
    </row>
    <row r="252" spans="1:14">
      <c r="A252" s="20" t="s">
        <v>85</v>
      </c>
      <c r="B252" s="21">
        <v>45689</v>
      </c>
      <c r="C252" s="20" t="s">
        <v>21</v>
      </c>
      <c r="D252" s="20" t="s">
        <v>19</v>
      </c>
      <c r="E252" s="22">
        <v>72932.55</v>
      </c>
      <c r="F252" s="20">
        <v>5765</v>
      </c>
      <c r="G252" s="23">
        <v>2.5999999999999999E-2</v>
      </c>
      <c r="H252" s="20">
        <v>17</v>
      </c>
      <c r="I252" s="22">
        <v>81.8</v>
      </c>
      <c r="J252" s="22">
        <v>5.0999999999999996</v>
      </c>
      <c r="K252" s="20">
        <v>0</v>
      </c>
      <c r="L252" s="22">
        <v>3.6</v>
      </c>
      <c r="M252" s="22">
        <v>642751.42000000004</v>
      </c>
      <c r="N252" s="22">
        <v>131942.15</v>
      </c>
    </row>
    <row r="253" spans="1:14">
      <c r="A253" s="16" t="s">
        <v>85</v>
      </c>
      <c r="B253" s="17">
        <v>45717</v>
      </c>
      <c r="C253" s="16" t="s">
        <v>21</v>
      </c>
      <c r="D253" s="16" t="s">
        <v>19</v>
      </c>
      <c r="E253" s="18">
        <v>38361.93</v>
      </c>
      <c r="F253" s="16">
        <v>6322</v>
      </c>
      <c r="G253" s="19">
        <v>0.27300000000000002</v>
      </c>
      <c r="H253" s="16">
        <v>15</v>
      </c>
      <c r="I253" s="18">
        <v>88.4</v>
      </c>
      <c r="J253" s="18">
        <v>0.83</v>
      </c>
      <c r="K253" s="16">
        <v>0</v>
      </c>
      <c r="L253" s="18">
        <v>4</v>
      </c>
      <c r="M253" s="18">
        <v>647953.78</v>
      </c>
      <c r="N253" s="18">
        <v>118497.43</v>
      </c>
    </row>
    <row r="254" spans="1:14">
      <c r="A254" s="20" t="s">
        <v>85</v>
      </c>
      <c r="B254" s="21">
        <v>45748</v>
      </c>
      <c r="C254" s="20" t="s">
        <v>21</v>
      </c>
      <c r="D254" s="20" t="s">
        <v>19</v>
      </c>
      <c r="E254" s="22">
        <v>97480.94</v>
      </c>
      <c r="F254" s="20">
        <v>6840</v>
      </c>
      <c r="G254" s="23">
        <v>8.6999999999999994E-2</v>
      </c>
      <c r="H254" s="20">
        <v>14</v>
      </c>
      <c r="I254" s="22">
        <v>79.2</v>
      </c>
      <c r="J254" s="22">
        <v>1.1399999999999999</v>
      </c>
      <c r="K254" s="20">
        <v>0</v>
      </c>
      <c r="L254" s="22">
        <v>4</v>
      </c>
      <c r="M254" s="22">
        <v>729440.45</v>
      </c>
      <c r="N254" s="22">
        <v>87614.29</v>
      </c>
    </row>
    <row r="255" spans="1:14">
      <c r="A255" s="16" t="s">
        <v>86</v>
      </c>
      <c r="B255" s="17">
        <v>45658</v>
      </c>
      <c r="C255" s="16" t="s">
        <v>25</v>
      </c>
      <c r="D255" s="16" t="s">
        <v>22</v>
      </c>
      <c r="E255" s="18">
        <v>81801.8</v>
      </c>
      <c r="F255" s="16">
        <v>6782</v>
      </c>
      <c r="G255" s="19">
        <v>0.05</v>
      </c>
      <c r="H255" s="16">
        <v>16</v>
      </c>
      <c r="I255" s="18">
        <v>99</v>
      </c>
      <c r="J255" s="18">
        <v>9.5399999999999991</v>
      </c>
      <c r="K255" s="16">
        <v>0</v>
      </c>
      <c r="L255" s="18">
        <v>3.7</v>
      </c>
      <c r="M255" s="18">
        <v>764949</v>
      </c>
      <c r="N255" s="18">
        <v>148322.43</v>
      </c>
    </row>
    <row r="256" spans="1:14">
      <c r="A256" s="20" t="s">
        <v>86</v>
      </c>
      <c r="B256" s="21">
        <v>45689</v>
      </c>
      <c r="C256" s="20" t="s">
        <v>25</v>
      </c>
      <c r="D256" s="20" t="s">
        <v>22</v>
      </c>
      <c r="E256" s="22">
        <v>63582.11</v>
      </c>
      <c r="F256" s="20">
        <v>6856</v>
      </c>
      <c r="G256" s="23">
        <v>7.3999999999999996E-2</v>
      </c>
      <c r="H256" s="20">
        <v>17</v>
      </c>
      <c r="I256" s="22">
        <v>89.5</v>
      </c>
      <c r="J256" s="22">
        <v>5.48</v>
      </c>
      <c r="K256" s="20">
        <v>0</v>
      </c>
      <c r="L256" s="22">
        <v>3.2</v>
      </c>
      <c r="M256" s="22">
        <v>799046.94</v>
      </c>
      <c r="N256" s="22">
        <v>144553.64000000001</v>
      </c>
    </row>
    <row r="257" spans="1:14">
      <c r="A257" s="16" t="s">
        <v>86</v>
      </c>
      <c r="B257" s="17">
        <v>45717</v>
      </c>
      <c r="C257" s="16" t="s">
        <v>25</v>
      </c>
      <c r="D257" s="16" t="s">
        <v>22</v>
      </c>
      <c r="E257" s="18">
        <v>75412.740000000005</v>
      </c>
      <c r="F257" s="16">
        <v>5641</v>
      </c>
      <c r="G257" s="19">
        <v>5.8999999999999997E-2</v>
      </c>
      <c r="H257" s="16">
        <v>13</v>
      </c>
      <c r="I257" s="18">
        <v>87.9</v>
      </c>
      <c r="J257" s="18">
        <v>0.84</v>
      </c>
      <c r="K257" s="16">
        <v>0</v>
      </c>
      <c r="L257" s="18">
        <v>3.6</v>
      </c>
      <c r="M257" s="18">
        <v>720079.54</v>
      </c>
      <c r="N257" s="18">
        <v>119499.47</v>
      </c>
    </row>
    <row r="258" spans="1:14">
      <c r="A258" s="20" t="s">
        <v>86</v>
      </c>
      <c r="B258" s="21">
        <v>45748</v>
      </c>
      <c r="C258" s="20" t="s">
        <v>25</v>
      </c>
      <c r="D258" s="20" t="s">
        <v>22</v>
      </c>
      <c r="E258" s="22">
        <v>36290.080000000002</v>
      </c>
      <c r="F258" s="20">
        <v>5787</v>
      </c>
      <c r="G258" s="23">
        <v>0</v>
      </c>
      <c r="H258" s="20">
        <v>17</v>
      </c>
      <c r="I258" s="22">
        <v>88.3</v>
      </c>
      <c r="J258" s="22">
        <v>4.1900000000000004</v>
      </c>
      <c r="K258" s="20">
        <v>0</v>
      </c>
      <c r="L258" s="22">
        <v>4.0999999999999996</v>
      </c>
      <c r="M258" s="22">
        <v>612390.14</v>
      </c>
      <c r="N258" s="22">
        <v>108985.74</v>
      </c>
    </row>
    <row r="259" spans="1:14">
      <c r="A259" s="16" t="s">
        <v>87</v>
      </c>
      <c r="B259" s="17">
        <v>45658</v>
      </c>
      <c r="C259" s="16" t="s">
        <v>25</v>
      </c>
      <c r="D259" s="16" t="s">
        <v>29</v>
      </c>
      <c r="E259" s="18">
        <v>65272.58</v>
      </c>
      <c r="F259" s="16">
        <v>8165</v>
      </c>
      <c r="G259" s="19">
        <v>5.0999999999999997E-2</v>
      </c>
      <c r="H259" s="16">
        <v>19</v>
      </c>
      <c r="I259" s="18">
        <v>87.8</v>
      </c>
      <c r="J259" s="18">
        <v>1.26</v>
      </c>
      <c r="K259" s="16">
        <v>1</v>
      </c>
      <c r="L259" s="18">
        <v>4.3</v>
      </c>
      <c r="M259" s="18">
        <v>840108.12</v>
      </c>
      <c r="N259" s="18">
        <v>126587.01</v>
      </c>
    </row>
    <row r="260" spans="1:14">
      <c r="A260" s="20" t="s">
        <v>87</v>
      </c>
      <c r="B260" s="21">
        <v>45689</v>
      </c>
      <c r="C260" s="20" t="s">
        <v>25</v>
      </c>
      <c r="D260" s="20" t="s">
        <v>29</v>
      </c>
      <c r="E260" s="22">
        <v>28670.43</v>
      </c>
      <c r="F260" s="20">
        <v>7574</v>
      </c>
      <c r="G260" s="23">
        <v>0.114</v>
      </c>
      <c r="H260" s="20">
        <v>19</v>
      </c>
      <c r="I260" s="22">
        <v>82.7</v>
      </c>
      <c r="J260" s="22">
        <v>2.74</v>
      </c>
      <c r="K260" s="20">
        <v>0</v>
      </c>
      <c r="L260" s="22">
        <v>4.5999999999999996</v>
      </c>
      <c r="M260" s="22">
        <v>697888.09</v>
      </c>
      <c r="N260" s="22">
        <v>116249.87</v>
      </c>
    </row>
    <row r="261" spans="1:14">
      <c r="A261" s="16" t="s">
        <v>87</v>
      </c>
      <c r="B261" s="17">
        <v>45717</v>
      </c>
      <c r="C261" s="16" t="s">
        <v>25</v>
      </c>
      <c r="D261" s="16" t="s">
        <v>29</v>
      </c>
      <c r="E261" s="18">
        <v>44189.34</v>
      </c>
      <c r="F261" s="16">
        <v>8634</v>
      </c>
      <c r="G261" s="19">
        <v>0.14299999999999999</v>
      </c>
      <c r="H261" s="16">
        <v>19</v>
      </c>
      <c r="I261" s="18">
        <v>87.5</v>
      </c>
      <c r="J261" s="18">
        <v>3.69</v>
      </c>
      <c r="K261" s="16">
        <v>0</v>
      </c>
      <c r="L261" s="18">
        <v>4.4000000000000004</v>
      </c>
      <c r="M261" s="18">
        <v>746115.59</v>
      </c>
      <c r="N261" s="18">
        <v>94662.96</v>
      </c>
    </row>
    <row r="262" spans="1:14">
      <c r="A262" s="20" t="s">
        <v>87</v>
      </c>
      <c r="B262" s="21">
        <v>45748</v>
      </c>
      <c r="C262" s="20" t="s">
        <v>25</v>
      </c>
      <c r="D262" s="20" t="s">
        <v>29</v>
      </c>
      <c r="E262" s="22">
        <v>38397.82</v>
      </c>
      <c r="F262" s="20">
        <v>7836</v>
      </c>
      <c r="G262" s="23">
        <v>7.0000000000000001E-3</v>
      </c>
      <c r="H262" s="20">
        <v>21</v>
      </c>
      <c r="I262" s="22">
        <v>92.2</v>
      </c>
      <c r="J262" s="22">
        <v>1.82</v>
      </c>
      <c r="K262" s="20">
        <v>0</v>
      </c>
      <c r="L262" s="22">
        <v>3.6</v>
      </c>
      <c r="M262" s="22">
        <v>776110.32</v>
      </c>
      <c r="N262" s="22">
        <v>139676.21</v>
      </c>
    </row>
    <row r="263" spans="1:14">
      <c r="A263" s="16" t="s">
        <v>88</v>
      </c>
      <c r="B263" s="17">
        <v>45658</v>
      </c>
      <c r="C263" s="16" t="s">
        <v>28</v>
      </c>
      <c r="D263" s="16" t="s">
        <v>19</v>
      </c>
      <c r="E263" s="18">
        <v>14519.37</v>
      </c>
      <c r="F263" s="16">
        <v>3047</v>
      </c>
      <c r="G263" s="19">
        <v>0.13500000000000001</v>
      </c>
      <c r="H263" s="16">
        <v>10</v>
      </c>
      <c r="I263" s="18">
        <v>90.3</v>
      </c>
      <c r="J263" s="18">
        <v>6.62</v>
      </c>
      <c r="K263" s="16">
        <v>0</v>
      </c>
      <c r="L263" s="18">
        <v>4.2</v>
      </c>
      <c r="M263" s="18">
        <v>528852.62</v>
      </c>
      <c r="N263" s="18">
        <v>68426.210000000006</v>
      </c>
    </row>
    <row r="264" spans="1:14">
      <c r="A264" s="20" t="s">
        <v>88</v>
      </c>
      <c r="B264" s="21">
        <v>45689</v>
      </c>
      <c r="C264" s="20" t="s">
        <v>28</v>
      </c>
      <c r="D264" s="20" t="s">
        <v>19</v>
      </c>
      <c r="E264" s="22">
        <v>43288.2</v>
      </c>
      <c r="F264" s="20">
        <v>4783</v>
      </c>
      <c r="G264" s="23">
        <v>0.16900000000000001</v>
      </c>
      <c r="H264" s="20">
        <v>13</v>
      </c>
      <c r="I264" s="22">
        <v>87.3</v>
      </c>
      <c r="J264" s="24"/>
      <c r="K264" s="20">
        <v>0</v>
      </c>
      <c r="L264" s="22">
        <v>4.2</v>
      </c>
      <c r="M264" s="22">
        <v>605751.32999999996</v>
      </c>
      <c r="N264" s="22">
        <v>60685.53</v>
      </c>
    </row>
    <row r="265" spans="1:14">
      <c r="A265" s="16" t="s">
        <v>88</v>
      </c>
      <c r="B265" s="17">
        <v>45717</v>
      </c>
      <c r="C265" s="16" t="s">
        <v>28</v>
      </c>
      <c r="D265" s="16" t="s">
        <v>19</v>
      </c>
      <c r="E265" s="18">
        <v>51450.55</v>
      </c>
      <c r="F265" s="16">
        <v>4902</v>
      </c>
      <c r="G265" s="19">
        <v>8.5999999999999993E-2</v>
      </c>
      <c r="H265" s="16">
        <v>11</v>
      </c>
      <c r="I265" s="18">
        <v>83.7</v>
      </c>
      <c r="J265" s="18">
        <v>6.92</v>
      </c>
      <c r="K265" s="16">
        <v>1</v>
      </c>
      <c r="L265" s="18">
        <v>4.2</v>
      </c>
      <c r="M265" s="18">
        <v>677640.65</v>
      </c>
      <c r="N265" s="18">
        <v>111610.89</v>
      </c>
    </row>
    <row r="266" spans="1:14">
      <c r="A266" s="20" t="s">
        <v>88</v>
      </c>
      <c r="B266" s="21">
        <v>45748</v>
      </c>
      <c r="C266" s="20" t="s">
        <v>28</v>
      </c>
      <c r="D266" s="20" t="s">
        <v>19</v>
      </c>
      <c r="E266" s="22">
        <v>58688.26</v>
      </c>
      <c r="F266" s="20">
        <v>4022</v>
      </c>
      <c r="G266" s="23">
        <v>0.217</v>
      </c>
      <c r="H266" s="20">
        <v>12</v>
      </c>
      <c r="I266" s="22">
        <v>93.8</v>
      </c>
      <c r="J266" s="22">
        <v>11.78</v>
      </c>
      <c r="K266" s="20">
        <v>0</v>
      </c>
      <c r="L266" s="22">
        <v>3.7</v>
      </c>
      <c r="M266" s="22">
        <v>636613.23</v>
      </c>
      <c r="N266" s="22">
        <v>78908.350000000006</v>
      </c>
    </row>
    <row r="267" spans="1:14">
      <c r="A267" s="16" t="s">
        <v>89</v>
      </c>
      <c r="B267" s="17">
        <v>45658</v>
      </c>
      <c r="C267" s="16" t="s">
        <v>16</v>
      </c>
      <c r="D267" s="16" t="s">
        <v>19</v>
      </c>
      <c r="E267" s="18">
        <v>58981.91</v>
      </c>
      <c r="F267" s="16">
        <v>7324</v>
      </c>
      <c r="G267" s="19">
        <v>9.4E-2</v>
      </c>
      <c r="H267" s="16">
        <v>15</v>
      </c>
      <c r="I267" s="18">
        <v>95.8</v>
      </c>
      <c r="J267" s="18">
        <v>0.5</v>
      </c>
      <c r="K267" s="16">
        <v>0</v>
      </c>
      <c r="L267" s="18">
        <v>3.5</v>
      </c>
      <c r="M267" s="18">
        <v>708985.19</v>
      </c>
      <c r="N267" s="18">
        <v>125368.16</v>
      </c>
    </row>
    <row r="268" spans="1:14">
      <c r="A268" s="20" t="s">
        <v>89</v>
      </c>
      <c r="B268" s="21">
        <v>45689</v>
      </c>
      <c r="C268" s="20" t="s">
        <v>16</v>
      </c>
      <c r="D268" s="20" t="s">
        <v>19</v>
      </c>
      <c r="E268" s="22">
        <v>73454.539999999994</v>
      </c>
      <c r="F268" s="20">
        <v>8129</v>
      </c>
      <c r="G268" s="23">
        <v>0.21099999999999999</v>
      </c>
      <c r="H268" s="20">
        <v>20</v>
      </c>
      <c r="I268" s="22">
        <v>85.2</v>
      </c>
      <c r="J268" s="22">
        <v>0.88</v>
      </c>
      <c r="K268" s="20">
        <v>0</v>
      </c>
      <c r="L268" s="22">
        <v>3.7</v>
      </c>
      <c r="M268" s="22">
        <v>767792.94</v>
      </c>
      <c r="N268" s="22">
        <v>96235.77</v>
      </c>
    </row>
    <row r="269" spans="1:14">
      <c r="A269" s="16" t="s">
        <v>89</v>
      </c>
      <c r="B269" s="17">
        <v>45717</v>
      </c>
      <c r="C269" s="16" t="s">
        <v>16</v>
      </c>
      <c r="D269" s="16" t="s">
        <v>19</v>
      </c>
      <c r="E269" s="18">
        <v>56602.39</v>
      </c>
      <c r="F269" s="16">
        <v>7969</v>
      </c>
      <c r="G269" s="19">
        <v>0.17</v>
      </c>
      <c r="H269" s="16">
        <v>21</v>
      </c>
      <c r="I269" s="18">
        <v>88.3</v>
      </c>
      <c r="J269" s="18">
        <v>2.25</v>
      </c>
      <c r="K269" s="16">
        <v>0</v>
      </c>
      <c r="L269" s="18">
        <v>3.7</v>
      </c>
      <c r="M269" s="18">
        <v>745580.51</v>
      </c>
      <c r="N269" s="18">
        <v>116273.68</v>
      </c>
    </row>
    <row r="270" spans="1:14">
      <c r="A270" s="20" t="s">
        <v>89</v>
      </c>
      <c r="B270" s="21">
        <v>45748</v>
      </c>
      <c r="C270" s="20" t="s">
        <v>16</v>
      </c>
      <c r="D270" s="20" t="s">
        <v>19</v>
      </c>
      <c r="E270" s="22">
        <v>67722.289999999994</v>
      </c>
      <c r="F270" s="20">
        <v>7240</v>
      </c>
      <c r="G270" s="23">
        <v>2.5999999999999999E-2</v>
      </c>
      <c r="H270" s="20">
        <v>15</v>
      </c>
      <c r="I270" s="22">
        <v>92.9</v>
      </c>
      <c r="J270" s="22">
        <v>0.28999999999999998</v>
      </c>
      <c r="K270" s="20">
        <v>0</v>
      </c>
      <c r="L270" s="22">
        <v>3.5</v>
      </c>
      <c r="M270" s="22">
        <v>762328.31</v>
      </c>
      <c r="N270" s="22">
        <v>159158.19</v>
      </c>
    </row>
    <row r="271" spans="1:14">
      <c r="A271" s="16" t="s">
        <v>90</v>
      </c>
      <c r="B271" s="17">
        <v>45658</v>
      </c>
      <c r="C271" s="16" t="s">
        <v>16</v>
      </c>
      <c r="D271" s="16" t="s">
        <v>29</v>
      </c>
      <c r="E271" s="18">
        <v>48752.92</v>
      </c>
      <c r="F271" s="16">
        <v>8052</v>
      </c>
      <c r="G271" s="19">
        <v>0.106</v>
      </c>
      <c r="H271" s="16">
        <v>16</v>
      </c>
      <c r="I271" s="18">
        <v>94.9</v>
      </c>
      <c r="J271" s="18">
        <v>0.65</v>
      </c>
      <c r="K271" s="16">
        <v>0</v>
      </c>
      <c r="L271" s="18">
        <v>3.6</v>
      </c>
      <c r="M271" s="18">
        <v>660633.99</v>
      </c>
      <c r="N271" s="18">
        <v>118768.66</v>
      </c>
    </row>
    <row r="272" spans="1:14">
      <c r="A272" s="20" t="s">
        <v>90</v>
      </c>
      <c r="B272" s="21">
        <v>45689</v>
      </c>
      <c r="C272" s="20" t="s">
        <v>16</v>
      </c>
      <c r="D272" s="20" t="s">
        <v>29</v>
      </c>
      <c r="E272" s="22">
        <v>23914.97</v>
      </c>
      <c r="F272" s="20">
        <v>8018</v>
      </c>
      <c r="G272" s="23">
        <v>0.13900000000000001</v>
      </c>
      <c r="H272" s="20">
        <v>20</v>
      </c>
      <c r="I272" s="22">
        <v>89</v>
      </c>
      <c r="J272" s="22">
        <v>0.2</v>
      </c>
      <c r="K272" s="20">
        <v>0</v>
      </c>
      <c r="L272" s="22">
        <v>3.5</v>
      </c>
      <c r="M272" s="22">
        <v>739374.56</v>
      </c>
      <c r="N272" s="22">
        <v>121032.29</v>
      </c>
    </row>
    <row r="273" spans="1:14">
      <c r="A273" s="16" t="s">
        <v>90</v>
      </c>
      <c r="B273" s="17">
        <v>45717</v>
      </c>
      <c r="C273" s="16" t="s">
        <v>16</v>
      </c>
      <c r="D273" s="16" t="s">
        <v>29</v>
      </c>
      <c r="E273" s="18">
        <v>61995.3</v>
      </c>
      <c r="F273" s="16">
        <v>10192</v>
      </c>
      <c r="G273" s="19">
        <v>0.19800000000000001</v>
      </c>
      <c r="H273" s="16">
        <v>21</v>
      </c>
      <c r="I273" s="18">
        <v>87.6</v>
      </c>
      <c r="J273" s="18">
        <v>3.63</v>
      </c>
      <c r="K273" s="16">
        <v>1</v>
      </c>
      <c r="L273" s="18">
        <v>3.8</v>
      </c>
      <c r="M273" s="18">
        <v>799756.46</v>
      </c>
      <c r="N273" s="18">
        <v>105052.93</v>
      </c>
    </row>
    <row r="274" spans="1:14">
      <c r="A274" s="20" t="s">
        <v>90</v>
      </c>
      <c r="B274" s="21">
        <v>45748</v>
      </c>
      <c r="C274" s="20" t="s">
        <v>16</v>
      </c>
      <c r="D274" s="20" t="s">
        <v>29</v>
      </c>
      <c r="E274" s="22">
        <v>29344.93</v>
      </c>
      <c r="F274" s="20">
        <v>7446</v>
      </c>
      <c r="G274" s="23">
        <v>0.111</v>
      </c>
      <c r="H274" s="20">
        <v>15</v>
      </c>
      <c r="I274" s="22">
        <v>86.2</v>
      </c>
      <c r="J274" s="22">
        <v>0.2</v>
      </c>
      <c r="K274" s="20">
        <v>0</v>
      </c>
      <c r="L274" s="22">
        <v>3.2</v>
      </c>
      <c r="M274" s="22">
        <v>593343</v>
      </c>
      <c r="N274" s="22">
        <v>82832.240000000005</v>
      </c>
    </row>
    <row r="275" spans="1:14">
      <c r="A275" s="16" t="s">
        <v>91</v>
      </c>
      <c r="B275" s="17">
        <v>45658</v>
      </c>
      <c r="C275" s="16" t="s">
        <v>28</v>
      </c>
      <c r="D275" s="16" t="s">
        <v>19</v>
      </c>
      <c r="E275" s="18">
        <v>50532.17</v>
      </c>
      <c r="F275" s="16">
        <v>5689</v>
      </c>
      <c r="G275" s="19">
        <v>5.1999999999999998E-2</v>
      </c>
      <c r="H275" s="16">
        <v>17</v>
      </c>
      <c r="I275" s="18">
        <v>85.6</v>
      </c>
      <c r="J275" s="18">
        <v>6.23</v>
      </c>
      <c r="K275" s="16">
        <v>0</v>
      </c>
      <c r="L275" s="18">
        <v>3.3</v>
      </c>
      <c r="M275" s="18">
        <v>645039.97</v>
      </c>
      <c r="N275" s="18">
        <v>83093.33</v>
      </c>
    </row>
    <row r="276" spans="1:14">
      <c r="A276" s="20" t="s">
        <v>91</v>
      </c>
      <c r="B276" s="21">
        <v>45689</v>
      </c>
      <c r="C276" s="20" t="s">
        <v>28</v>
      </c>
      <c r="D276" s="20" t="s">
        <v>19</v>
      </c>
      <c r="E276" s="22">
        <v>17562.57</v>
      </c>
      <c r="F276" s="20">
        <v>3326</v>
      </c>
      <c r="G276" s="23">
        <v>0.153</v>
      </c>
      <c r="H276" s="20">
        <v>14</v>
      </c>
      <c r="I276" s="22">
        <v>88.1</v>
      </c>
      <c r="J276" s="22">
        <v>1.04</v>
      </c>
      <c r="K276" s="20">
        <v>0</v>
      </c>
      <c r="L276" s="22">
        <v>3.1</v>
      </c>
      <c r="M276" s="22">
        <v>561597.32999999996</v>
      </c>
      <c r="N276" s="22">
        <v>75072.75</v>
      </c>
    </row>
    <row r="277" spans="1:14">
      <c r="A277" s="16" t="s">
        <v>91</v>
      </c>
      <c r="B277" s="17">
        <v>45717</v>
      </c>
      <c r="C277" s="16" t="s">
        <v>28</v>
      </c>
      <c r="D277" s="16" t="s">
        <v>19</v>
      </c>
      <c r="E277" s="18">
        <v>47648.71</v>
      </c>
      <c r="F277" s="16">
        <v>5767</v>
      </c>
      <c r="G277" s="19">
        <v>0.14099999999999999</v>
      </c>
      <c r="H277" s="16">
        <v>17</v>
      </c>
      <c r="I277" s="18">
        <v>89.8</v>
      </c>
      <c r="J277" s="18">
        <v>1.76</v>
      </c>
      <c r="K277" s="16">
        <v>0</v>
      </c>
      <c r="L277" s="18">
        <v>3.1</v>
      </c>
      <c r="M277" s="18">
        <v>635837.74</v>
      </c>
      <c r="N277" s="18">
        <v>114740.64</v>
      </c>
    </row>
    <row r="278" spans="1:14">
      <c r="A278" s="20" t="s">
        <v>91</v>
      </c>
      <c r="B278" s="21">
        <v>45748</v>
      </c>
      <c r="C278" s="20" t="s">
        <v>28</v>
      </c>
      <c r="D278" s="20" t="s">
        <v>19</v>
      </c>
      <c r="E278" s="22">
        <v>38297.58</v>
      </c>
      <c r="F278" s="20">
        <v>5893</v>
      </c>
      <c r="G278" s="23">
        <v>0.247</v>
      </c>
      <c r="H278" s="20">
        <v>18</v>
      </c>
      <c r="I278" s="22">
        <v>77.599999999999994</v>
      </c>
      <c r="J278" s="22">
        <v>2.86</v>
      </c>
      <c r="K278" s="20">
        <v>0</v>
      </c>
      <c r="L278" s="22">
        <v>3</v>
      </c>
      <c r="M278" s="22">
        <v>686737.87</v>
      </c>
      <c r="N278" s="22">
        <v>83839.67</v>
      </c>
    </row>
    <row r="279" spans="1:14">
      <c r="A279" s="16" t="s">
        <v>92</v>
      </c>
      <c r="B279" s="17">
        <v>45658</v>
      </c>
      <c r="C279" s="16" t="s">
        <v>25</v>
      </c>
      <c r="D279" s="16" t="s">
        <v>17</v>
      </c>
      <c r="E279" s="18">
        <v>61784.11</v>
      </c>
      <c r="F279" s="16">
        <v>8564</v>
      </c>
      <c r="G279" s="19">
        <v>0.13</v>
      </c>
      <c r="H279" s="16">
        <v>17</v>
      </c>
      <c r="I279" s="18">
        <v>87.4</v>
      </c>
      <c r="J279" s="18">
        <v>18.14</v>
      </c>
      <c r="K279" s="16">
        <v>1</v>
      </c>
      <c r="L279" s="18">
        <v>3.4</v>
      </c>
      <c r="M279" s="18">
        <v>673076.34</v>
      </c>
      <c r="N279" s="18">
        <v>93899.76</v>
      </c>
    </row>
    <row r="280" spans="1:14">
      <c r="A280" s="20" t="s">
        <v>92</v>
      </c>
      <c r="B280" s="21">
        <v>45689</v>
      </c>
      <c r="C280" s="20" t="s">
        <v>25</v>
      </c>
      <c r="D280" s="20" t="s">
        <v>17</v>
      </c>
      <c r="E280" s="22">
        <v>36832.33</v>
      </c>
      <c r="F280" s="20">
        <v>8001</v>
      </c>
      <c r="G280" s="23">
        <v>0</v>
      </c>
      <c r="H280" s="20">
        <v>19</v>
      </c>
      <c r="I280" s="22">
        <v>88.7</v>
      </c>
      <c r="J280" s="22">
        <v>3.39</v>
      </c>
      <c r="K280" s="20">
        <v>0</v>
      </c>
      <c r="L280" s="22">
        <v>4</v>
      </c>
      <c r="M280" s="22">
        <v>738548.42</v>
      </c>
      <c r="N280" s="22">
        <v>134282.76999999999</v>
      </c>
    </row>
    <row r="281" spans="1:14">
      <c r="A281" s="16" t="s">
        <v>92</v>
      </c>
      <c r="B281" s="17">
        <v>45717</v>
      </c>
      <c r="C281" s="16" t="s">
        <v>25</v>
      </c>
      <c r="D281" s="16" t="s">
        <v>17</v>
      </c>
      <c r="E281" s="18">
        <v>48609.41</v>
      </c>
      <c r="F281" s="16">
        <v>9324</v>
      </c>
      <c r="G281" s="19">
        <v>0.21299999999999999</v>
      </c>
      <c r="H281" s="16">
        <v>18</v>
      </c>
      <c r="I281" s="18">
        <v>86.5</v>
      </c>
      <c r="J281" s="18">
        <v>1.44</v>
      </c>
      <c r="K281" s="16">
        <v>0</v>
      </c>
      <c r="L281" s="18">
        <v>3.9</v>
      </c>
      <c r="M281" s="18">
        <v>756619.77</v>
      </c>
      <c r="N281" s="18">
        <v>112057.69</v>
      </c>
    </row>
    <row r="282" spans="1:14">
      <c r="A282" s="20" t="s">
        <v>92</v>
      </c>
      <c r="B282" s="21">
        <v>45748</v>
      </c>
      <c r="C282" s="20" t="s">
        <v>25</v>
      </c>
      <c r="D282" s="20" t="s">
        <v>17</v>
      </c>
      <c r="E282" s="22">
        <v>70284.06</v>
      </c>
      <c r="F282" s="20">
        <v>9109</v>
      </c>
      <c r="G282" s="23">
        <v>4.0000000000000001E-3</v>
      </c>
      <c r="H282" s="20">
        <v>23</v>
      </c>
      <c r="I282" s="22">
        <v>87</v>
      </c>
      <c r="J282" s="22">
        <v>3.65</v>
      </c>
      <c r="K282" s="20">
        <v>0</v>
      </c>
      <c r="L282" s="22">
        <v>3.7</v>
      </c>
      <c r="M282" s="22">
        <v>761122.42</v>
      </c>
      <c r="N282" s="22">
        <v>149802.04</v>
      </c>
    </row>
    <row r="283" spans="1:14">
      <c r="A283" s="16" t="s">
        <v>93</v>
      </c>
      <c r="B283" s="17">
        <v>45658</v>
      </c>
      <c r="C283" s="16" t="s">
        <v>25</v>
      </c>
      <c r="D283" s="16" t="s">
        <v>19</v>
      </c>
      <c r="E283" s="18">
        <v>45940.39</v>
      </c>
      <c r="F283" s="16">
        <v>4022</v>
      </c>
      <c r="G283" s="19">
        <v>6.9000000000000006E-2</v>
      </c>
      <c r="H283" s="16">
        <v>10</v>
      </c>
      <c r="I283" s="18">
        <v>83</v>
      </c>
      <c r="J283" s="18">
        <v>1.23</v>
      </c>
      <c r="K283" s="16">
        <v>1</v>
      </c>
      <c r="L283" s="18">
        <v>3.8</v>
      </c>
      <c r="M283" s="18">
        <v>524899.56999999995</v>
      </c>
      <c r="N283" s="18">
        <v>63619.98</v>
      </c>
    </row>
    <row r="284" spans="1:14">
      <c r="A284" s="20" t="s">
        <v>93</v>
      </c>
      <c r="B284" s="21">
        <v>45689</v>
      </c>
      <c r="C284" s="20" t="s">
        <v>25</v>
      </c>
      <c r="D284" s="20" t="s">
        <v>19</v>
      </c>
      <c r="E284" s="22">
        <v>34771.26</v>
      </c>
      <c r="F284" s="20">
        <v>4355</v>
      </c>
      <c r="G284" s="23">
        <v>5.0999999999999997E-2</v>
      </c>
      <c r="H284" s="20">
        <v>15</v>
      </c>
      <c r="I284" s="22">
        <v>87.9</v>
      </c>
      <c r="J284" s="22">
        <v>3.09</v>
      </c>
      <c r="K284" s="20">
        <v>0</v>
      </c>
      <c r="L284" s="22">
        <v>4</v>
      </c>
      <c r="M284" s="22">
        <v>555557.77</v>
      </c>
      <c r="N284" s="22">
        <v>86475.51</v>
      </c>
    </row>
    <row r="285" spans="1:14">
      <c r="A285" s="16" t="s">
        <v>93</v>
      </c>
      <c r="B285" s="17">
        <v>45717</v>
      </c>
      <c r="C285" s="16" t="s">
        <v>25</v>
      </c>
      <c r="D285" s="16" t="s">
        <v>19</v>
      </c>
      <c r="E285" s="18">
        <v>66104.19</v>
      </c>
      <c r="F285" s="16">
        <v>5745</v>
      </c>
      <c r="G285" s="19">
        <v>7.0000000000000007E-2</v>
      </c>
      <c r="H285" s="16">
        <v>17</v>
      </c>
      <c r="I285" s="18">
        <v>95.8</v>
      </c>
      <c r="J285" s="18">
        <v>3.15</v>
      </c>
      <c r="K285" s="16">
        <v>0</v>
      </c>
      <c r="L285" s="18">
        <v>4</v>
      </c>
      <c r="M285" s="18">
        <v>714083.68</v>
      </c>
      <c r="N285" s="18">
        <v>127231.74</v>
      </c>
    </row>
    <row r="286" spans="1:14">
      <c r="A286" s="20" t="s">
        <v>93</v>
      </c>
      <c r="B286" s="21">
        <v>45748</v>
      </c>
      <c r="C286" s="20" t="s">
        <v>25</v>
      </c>
      <c r="D286" s="20" t="s">
        <v>19</v>
      </c>
      <c r="E286" s="22">
        <v>18599.21</v>
      </c>
      <c r="F286" s="20">
        <v>3027</v>
      </c>
      <c r="G286" s="23">
        <v>0.122</v>
      </c>
      <c r="H286" s="20">
        <v>11</v>
      </c>
      <c r="I286" s="22">
        <v>80.900000000000006</v>
      </c>
      <c r="J286" s="22">
        <v>6.44</v>
      </c>
      <c r="K286" s="20">
        <v>0</v>
      </c>
      <c r="L286" s="22">
        <v>4.2</v>
      </c>
      <c r="M286" s="22">
        <v>497439.82</v>
      </c>
      <c r="N286" s="22">
        <v>93372.75</v>
      </c>
    </row>
    <row r="287" spans="1:14">
      <c r="A287" s="16" t="s">
        <v>94</v>
      </c>
      <c r="B287" s="17">
        <v>45658</v>
      </c>
      <c r="C287" s="16" t="s">
        <v>28</v>
      </c>
      <c r="D287" s="16" t="s">
        <v>17</v>
      </c>
      <c r="E287" s="18">
        <v>60183.06</v>
      </c>
      <c r="F287" s="16">
        <v>5562</v>
      </c>
      <c r="G287" s="19">
        <v>8.9999999999999993E-3</v>
      </c>
      <c r="H287" s="16">
        <v>13</v>
      </c>
      <c r="I287" s="18">
        <v>86.3</v>
      </c>
      <c r="J287" s="18">
        <v>0.2</v>
      </c>
      <c r="K287" s="16">
        <v>1</v>
      </c>
      <c r="L287" s="18">
        <v>4.5</v>
      </c>
      <c r="M287" s="18">
        <v>636775.66</v>
      </c>
      <c r="N287" s="18">
        <v>122636.86</v>
      </c>
    </row>
    <row r="288" spans="1:14">
      <c r="A288" s="20" t="s">
        <v>94</v>
      </c>
      <c r="B288" s="21">
        <v>45689</v>
      </c>
      <c r="C288" s="20" t="s">
        <v>28</v>
      </c>
      <c r="D288" s="20" t="s">
        <v>17</v>
      </c>
      <c r="E288" s="22">
        <v>74539.14</v>
      </c>
      <c r="F288" s="20">
        <v>4487</v>
      </c>
      <c r="G288" s="23">
        <v>0.14000000000000001</v>
      </c>
      <c r="H288" s="20">
        <v>10</v>
      </c>
      <c r="I288" s="22">
        <v>90.4</v>
      </c>
      <c r="J288" s="22">
        <v>0.59</v>
      </c>
      <c r="K288" s="20">
        <v>0</v>
      </c>
      <c r="L288" s="22">
        <v>4.5</v>
      </c>
      <c r="M288" s="22">
        <v>633009.53</v>
      </c>
      <c r="N288" s="22">
        <v>123782.67</v>
      </c>
    </row>
    <row r="289" spans="1:14">
      <c r="A289" s="16" t="s">
        <v>94</v>
      </c>
      <c r="B289" s="17">
        <v>45717</v>
      </c>
      <c r="C289" s="16" t="s">
        <v>28</v>
      </c>
      <c r="D289" s="16" t="s">
        <v>17</v>
      </c>
      <c r="E289" s="18">
        <v>55371.97</v>
      </c>
      <c r="F289" s="16">
        <v>4162</v>
      </c>
      <c r="G289" s="19">
        <v>0.183</v>
      </c>
      <c r="H289" s="16">
        <v>11</v>
      </c>
      <c r="I289" s="18">
        <v>92</v>
      </c>
      <c r="J289" s="18">
        <v>0.2</v>
      </c>
      <c r="K289" s="16">
        <v>1</v>
      </c>
      <c r="L289" s="18">
        <v>4.2</v>
      </c>
      <c r="M289" s="18">
        <v>609949</v>
      </c>
      <c r="N289" s="18">
        <v>126789.25</v>
      </c>
    </row>
    <row r="290" spans="1:14">
      <c r="A290" s="20" t="s">
        <v>94</v>
      </c>
      <c r="B290" s="21">
        <v>45748</v>
      </c>
      <c r="C290" s="20" t="s">
        <v>28</v>
      </c>
      <c r="D290" s="20" t="s">
        <v>17</v>
      </c>
      <c r="E290" s="22">
        <v>40928.69</v>
      </c>
      <c r="F290" s="20">
        <v>4094</v>
      </c>
      <c r="G290" s="23">
        <v>0.17399999999999999</v>
      </c>
      <c r="H290" s="20">
        <v>13</v>
      </c>
      <c r="I290" s="22">
        <v>82.4</v>
      </c>
      <c r="J290" s="22">
        <v>1.36</v>
      </c>
      <c r="K290" s="20">
        <v>0</v>
      </c>
      <c r="L290" s="22">
        <v>4.8</v>
      </c>
      <c r="M290" s="22">
        <v>548103.69999999995</v>
      </c>
      <c r="N290" s="22">
        <v>99905.52</v>
      </c>
    </row>
    <row r="291" spans="1:14">
      <c r="A291" s="16" t="s">
        <v>95</v>
      </c>
      <c r="B291" s="17">
        <v>45658</v>
      </c>
      <c r="C291" s="16" t="s">
        <v>16</v>
      </c>
      <c r="D291" s="16" t="s">
        <v>17</v>
      </c>
      <c r="E291" s="18">
        <v>70012.41</v>
      </c>
      <c r="F291" s="16">
        <v>8484</v>
      </c>
      <c r="G291" s="19">
        <v>0.27300000000000002</v>
      </c>
      <c r="H291" s="16">
        <v>23</v>
      </c>
      <c r="I291" s="18">
        <v>72.900000000000006</v>
      </c>
      <c r="J291" s="18">
        <v>3.34</v>
      </c>
      <c r="K291" s="16">
        <v>0</v>
      </c>
      <c r="L291" s="18">
        <v>3.7</v>
      </c>
      <c r="M291" s="18">
        <v>729424.42</v>
      </c>
      <c r="N291" s="18">
        <v>75592.28</v>
      </c>
    </row>
    <row r="292" spans="1:14">
      <c r="A292" s="20" t="s">
        <v>95</v>
      </c>
      <c r="B292" s="21">
        <v>45689</v>
      </c>
      <c r="C292" s="20" t="s">
        <v>16</v>
      </c>
      <c r="D292" s="20" t="s">
        <v>17</v>
      </c>
      <c r="E292" s="22">
        <v>68909.259999999995</v>
      </c>
      <c r="F292" s="20">
        <v>7794</v>
      </c>
      <c r="G292" s="23">
        <v>0.28399999999999997</v>
      </c>
      <c r="H292" s="20">
        <v>22</v>
      </c>
      <c r="I292" s="22">
        <v>89</v>
      </c>
      <c r="J292" s="22">
        <v>0.33</v>
      </c>
      <c r="K292" s="20">
        <v>0</v>
      </c>
      <c r="L292" s="22">
        <v>4</v>
      </c>
      <c r="M292" s="22">
        <v>696261.49</v>
      </c>
      <c r="N292" s="22">
        <v>72455.350000000006</v>
      </c>
    </row>
    <row r="293" spans="1:14">
      <c r="A293" s="16" t="s">
        <v>95</v>
      </c>
      <c r="B293" s="17">
        <v>45717</v>
      </c>
      <c r="C293" s="16" t="s">
        <v>16</v>
      </c>
      <c r="D293" s="16" t="s">
        <v>17</v>
      </c>
      <c r="E293" s="18">
        <v>56737.3</v>
      </c>
      <c r="F293" s="16">
        <v>8300</v>
      </c>
      <c r="G293" s="19">
        <v>3.2000000000000001E-2</v>
      </c>
      <c r="H293" s="16">
        <v>21</v>
      </c>
      <c r="I293" s="18">
        <v>83.2</v>
      </c>
      <c r="J293" s="18">
        <v>3.44</v>
      </c>
      <c r="K293" s="16">
        <v>1</v>
      </c>
      <c r="L293" s="18">
        <v>4.3</v>
      </c>
      <c r="M293" s="18">
        <v>813316.71</v>
      </c>
      <c r="N293" s="18">
        <v>110077.42</v>
      </c>
    </row>
    <row r="294" spans="1:14">
      <c r="A294" s="20" t="s">
        <v>95</v>
      </c>
      <c r="B294" s="21">
        <v>45748</v>
      </c>
      <c r="C294" s="20" t="s">
        <v>16</v>
      </c>
      <c r="D294" s="20" t="s">
        <v>17</v>
      </c>
      <c r="E294" s="22">
        <v>54080.91</v>
      </c>
      <c r="F294" s="20">
        <v>7083</v>
      </c>
      <c r="G294" s="23">
        <v>0</v>
      </c>
      <c r="H294" s="20">
        <v>15</v>
      </c>
      <c r="I294" s="22">
        <v>97</v>
      </c>
      <c r="J294" s="22">
        <v>5.33</v>
      </c>
      <c r="K294" s="20">
        <v>0</v>
      </c>
      <c r="L294" s="22">
        <v>4.0999999999999996</v>
      </c>
      <c r="M294" s="22">
        <v>702068.92</v>
      </c>
      <c r="N294" s="22">
        <v>111266.63</v>
      </c>
    </row>
    <row r="295" spans="1:14">
      <c r="A295" s="16" t="s">
        <v>96</v>
      </c>
      <c r="B295" s="17">
        <v>45658</v>
      </c>
      <c r="C295" s="16" t="s">
        <v>28</v>
      </c>
      <c r="D295" s="16" t="s">
        <v>19</v>
      </c>
      <c r="E295" s="18">
        <v>51996.32</v>
      </c>
      <c r="F295" s="16">
        <v>3834</v>
      </c>
      <c r="G295" s="19">
        <v>9.6000000000000002E-2</v>
      </c>
      <c r="H295" s="16">
        <v>8</v>
      </c>
      <c r="I295" s="18">
        <v>86.7</v>
      </c>
      <c r="J295" s="18">
        <v>6.04</v>
      </c>
      <c r="K295" s="16">
        <v>0</v>
      </c>
      <c r="L295" s="18">
        <v>4.5</v>
      </c>
      <c r="M295" s="18">
        <v>546223.69999999995</v>
      </c>
      <c r="N295" s="18">
        <v>100769.17</v>
      </c>
    </row>
    <row r="296" spans="1:14">
      <c r="A296" s="20" t="s">
        <v>96</v>
      </c>
      <c r="B296" s="21">
        <v>45689</v>
      </c>
      <c r="C296" s="20" t="s">
        <v>28</v>
      </c>
      <c r="D296" s="20" t="s">
        <v>19</v>
      </c>
      <c r="E296" s="22">
        <v>40102.879999999997</v>
      </c>
      <c r="F296" s="20">
        <v>2358</v>
      </c>
      <c r="G296" s="23">
        <v>0.11899999999999999</v>
      </c>
      <c r="H296" s="20">
        <v>9</v>
      </c>
      <c r="I296" s="22">
        <v>88.7</v>
      </c>
      <c r="J296" s="22">
        <v>1.6</v>
      </c>
      <c r="K296" s="20">
        <v>0</v>
      </c>
      <c r="L296" s="22">
        <v>4.2</v>
      </c>
      <c r="M296" s="22">
        <v>533121.26</v>
      </c>
      <c r="N296" s="22">
        <v>55063.39</v>
      </c>
    </row>
    <row r="297" spans="1:14">
      <c r="A297" s="16" t="s">
        <v>96</v>
      </c>
      <c r="B297" s="17">
        <v>45717</v>
      </c>
      <c r="C297" s="16" t="s">
        <v>28</v>
      </c>
      <c r="D297" s="16" t="s">
        <v>19</v>
      </c>
      <c r="E297" s="18">
        <v>59825.51</v>
      </c>
      <c r="F297" s="16">
        <v>1231</v>
      </c>
      <c r="G297" s="19">
        <v>0.214</v>
      </c>
      <c r="H297" s="16">
        <v>10</v>
      </c>
      <c r="I297" s="18">
        <v>84.8</v>
      </c>
      <c r="J297" s="18">
        <v>8.9600000000000009</v>
      </c>
      <c r="K297" s="16">
        <v>0</v>
      </c>
      <c r="L297" s="18">
        <v>4.7</v>
      </c>
      <c r="M297" s="18">
        <v>498970.32</v>
      </c>
      <c r="N297" s="18">
        <v>69656.7</v>
      </c>
    </row>
    <row r="298" spans="1:14">
      <c r="A298" s="20" t="s">
        <v>96</v>
      </c>
      <c r="B298" s="21">
        <v>45748</v>
      </c>
      <c r="C298" s="20" t="s">
        <v>28</v>
      </c>
      <c r="D298" s="20" t="s">
        <v>19</v>
      </c>
      <c r="E298" s="22">
        <v>27398.28</v>
      </c>
      <c r="F298" s="20">
        <v>1723</v>
      </c>
      <c r="G298" s="23">
        <v>0.17100000000000001</v>
      </c>
      <c r="H298" s="20">
        <v>9</v>
      </c>
      <c r="I298" s="22">
        <v>81</v>
      </c>
      <c r="J298" s="22">
        <v>0.74</v>
      </c>
      <c r="K298" s="20">
        <v>0</v>
      </c>
      <c r="L298" s="22">
        <v>4.5999999999999996</v>
      </c>
      <c r="M298" s="22">
        <v>487738.26</v>
      </c>
      <c r="N298" s="22">
        <v>96435.6</v>
      </c>
    </row>
    <row r="299" spans="1:14">
      <c r="A299" s="16" t="s">
        <v>97</v>
      </c>
      <c r="B299" s="17">
        <v>45658</v>
      </c>
      <c r="C299" s="16" t="s">
        <v>28</v>
      </c>
      <c r="D299" s="16" t="s">
        <v>19</v>
      </c>
      <c r="E299" s="18">
        <v>55599.56</v>
      </c>
      <c r="F299" s="16">
        <v>5896</v>
      </c>
      <c r="G299" s="19">
        <v>3.5999999999999997E-2</v>
      </c>
      <c r="H299" s="16">
        <v>12</v>
      </c>
      <c r="I299" s="18">
        <v>93.1</v>
      </c>
      <c r="J299" s="18">
        <v>6.13</v>
      </c>
      <c r="K299" s="16">
        <v>0</v>
      </c>
      <c r="L299" s="18">
        <v>3.3</v>
      </c>
      <c r="M299" s="18">
        <v>668459.37</v>
      </c>
      <c r="N299" s="18">
        <v>126435.42</v>
      </c>
    </row>
    <row r="300" spans="1:14">
      <c r="A300" s="20" t="s">
        <v>97</v>
      </c>
      <c r="B300" s="21">
        <v>45689</v>
      </c>
      <c r="C300" s="20" t="s">
        <v>28</v>
      </c>
      <c r="D300" s="20" t="s">
        <v>19</v>
      </c>
      <c r="E300" s="22">
        <v>55477.61</v>
      </c>
      <c r="F300" s="20">
        <v>5903</v>
      </c>
      <c r="G300" s="23">
        <v>0.10199999999999999</v>
      </c>
      <c r="H300" s="20">
        <v>14</v>
      </c>
      <c r="I300" s="22">
        <v>96.2</v>
      </c>
      <c r="J300" s="22">
        <v>1.41</v>
      </c>
      <c r="K300" s="20">
        <v>0</v>
      </c>
      <c r="L300" s="22">
        <v>3.3</v>
      </c>
      <c r="M300" s="22">
        <v>763162.45</v>
      </c>
      <c r="N300" s="22">
        <v>162524.04999999999</v>
      </c>
    </row>
    <row r="301" spans="1:14">
      <c r="A301" s="16" t="s">
        <v>97</v>
      </c>
      <c r="B301" s="17">
        <v>45717</v>
      </c>
      <c r="C301" s="16" t="s">
        <v>28</v>
      </c>
      <c r="D301" s="16" t="s">
        <v>19</v>
      </c>
      <c r="E301" s="18">
        <v>46174.7</v>
      </c>
      <c r="F301" s="16">
        <v>4898</v>
      </c>
      <c r="G301" s="19">
        <v>0.114</v>
      </c>
      <c r="H301" s="16">
        <v>11</v>
      </c>
      <c r="I301" s="18">
        <v>91.7</v>
      </c>
      <c r="J301" s="18">
        <v>3.75</v>
      </c>
      <c r="K301" s="16">
        <v>0</v>
      </c>
      <c r="L301" s="18">
        <v>3.1</v>
      </c>
      <c r="M301" s="18">
        <v>599017.32999999996</v>
      </c>
      <c r="N301" s="18">
        <v>134009.92000000001</v>
      </c>
    </row>
    <row r="302" spans="1:14">
      <c r="A302" s="20" t="s">
        <v>97</v>
      </c>
      <c r="B302" s="21">
        <v>45748</v>
      </c>
      <c r="C302" s="20" t="s">
        <v>28</v>
      </c>
      <c r="D302" s="20" t="s">
        <v>19</v>
      </c>
      <c r="E302" s="22">
        <v>24362.98</v>
      </c>
      <c r="F302" s="20">
        <v>1462</v>
      </c>
      <c r="G302" s="23">
        <v>0.11700000000000001</v>
      </c>
      <c r="H302" s="20">
        <v>6</v>
      </c>
      <c r="I302" s="22">
        <v>89.3</v>
      </c>
      <c r="J302" s="22">
        <v>15.06</v>
      </c>
      <c r="K302" s="20">
        <v>0</v>
      </c>
      <c r="L302" s="22">
        <v>3.2</v>
      </c>
      <c r="M302" s="22">
        <v>401582.58</v>
      </c>
      <c r="N302" s="22">
        <v>68454.929999999993</v>
      </c>
    </row>
    <row r="303" spans="1:14">
      <c r="A303" s="16" t="s">
        <v>98</v>
      </c>
      <c r="B303" s="17">
        <v>45658</v>
      </c>
      <c r="C303" s="16" t="s">
        <v>21</v>
      </c>
      <c r="D303" s="16" t="s">
        <v>29</v>
      </c>
      <c r="E303" s="18">
        <v>40647.67</v>
      </c>
      <c r="F303" s="16">
        <v>8252</v>
      </c>
      <c r="G303" s="19">
        <v>0.14099999999999999</v>
      </c>
      <c r="H303" s="16">
        <v>22</v>
      </c>
      <c r="I303" s="18">
        <v>88.2</v>
      </c>
      <c r="J303" s="18">
        <v>5.07</v>
      </c>
      <c r="K303" s="16">
        <v>1</v>
      </c>
      <c r="L303" s="18">
        <v>4.0999999999999996</v>
      </c>
      <c r="M303" s="18">
        <v>703812.99</v>
      </c>
      <c r="N303" s="18">
        <v>133577.98000000001</v>
      </c>
    </row>
    <row r="304" spans="1:14">
      <c r="A304" s="20" t="s">
        <v>98</v>
      </c>
      <c r="B304" s="21">
        <v>45689</v>
      </c>
      <c r="C304" s="20" t="s">
        <v>21</v>
      </c>
      <c r="D304" s="20" t="s">
        <v>29</v>
      </c>
      <c r="E304" s="22">
        <v>63986.98</v>
      </c>
      <c r="F304" s="20">
        <v>7989</v>
      </c>
      <c r="G304" s="23">
        <v>7.3999999999999996E-2</v>
      </c>
      <c r="H304" s="20">
        <v>20</v>
      </c>
      <c r="I304" s="22">
        <v>83.3</v>
      </c>
      <c r="J304" s="22">
        <v>3.6</v>
      </c>
      <c r="K304" s="20">
        <v>0</v>
      </c>
      <c r="L304" s="22">
        <v>3.7</v>
      </c>
      <c r="M304" s="22">
        <v>724346.73</v>
      </c>
      <c r="N304" s="22">
        <v>155013.91</v>
      </c>
    </row>
    <row r="305" spans="1:14">
      <c r="A305" s="16" t="s">
        <v>98</v>
      </c>
      <c r="B305" s="17">
        <v>45717</v>
      </c>
      <c r="C305" s="16" t="s">
        <v>21</v>
      </c>
      <c r="D305" s="16" t="s">
        <v>29</v>
      </c>
      <c r="E305" s="18">
        <v>52843.75</v>
      </c>
      <c r="F305" s="16">
        <v>8268</v>
      </c>
      <c r="G305" s="19">
        <v>0.13800000000000001</v>
      </c>
      <c r="H305" s="16">
        <v>19</v>
      </c>
      <c r="I305" s="18">
        <v>87.3</v>
      </c>
      <c r="J305" s="18">
        <v>4.3899999999999997</v>
      </c>
      <c r="K305" s="16">
        <v>1</v>
      </c>
      <c r="L305" s="18">
        <v>4.7</v>
      </c>
      <c r="M305" s="18">
        <v>730890.01</v>
      </c>
      <c r="N305" s="18">
        <v>105502.56</v>
      </c>
    </row>
    <row r="306" spans="1:14">
      <c r="A306" s="20" t="s">
        <v>98</v>
      </c>
      <c r="B306" s="21">
        <v>45748</v>
      </c>
      <c r="C306" s="20" t="s">
        <v>21</v>
      </c>
      <c r="D306" s="20" t="s">
        <v>29</v>
      </c>
      <c r="E306" s="22">
        <v>31997.25</v>
      </c>
      <c r="F306" s="20">
        <v>8183</v>
      </c>
      <c r="G306" s="23">
        <v>0.19800000000000001</v>
      </c>
      <c r="H306" s="20">
        <v>18</v>
      </c>
      <c r="I306" s="22">
        <v>93</v>
      </c>
      <c r="J306" s="22">
        <v>2.79</v>
      </c>
      <c r="K306" s="20">
        <v>0</v>
      </c>
      <c r="L306" s="22">
        <v>4.2</v>
      </c>
      <c r="M306" s="22">
        <v>780580.95</v>
      </c>
      <c r="N306" s="22">
        <v>138144.46</v>
      </c>
    </row>
    <row r="307" spans="1:14">
      <c r="A307" s="16" t="s">
        <v>99</v>
      </c>
      <c r="B307" s="17">
        <v>45658</v>
      </c>
      <c r="C307" s="16" t="s">
        <v>25</v>
      </c>
      <c r="D307" s="16" t="s">
        <v>17</v>
      </c>
      <c r="E307" s="18">
        <v>54948.02</v>
      </c>
      <c r="F307" s="16">
        <v>6534</v>
      </c>
      <c r="G307" s="19">
        <v>0.183</v>
      </c>
      <c r="H307" s="16">
        <v>14</v>
      </c>
      <c r="I307" s="18">
        <v>94.5</v>
      </c>
      <c r="J307" s="18">
        <v>1.56</v>
      </c>
      <c r="K307" s="16">
        <v>0</v>
      </c>
      <c r="L307" s="18">
        <v>4</v>
      </c>
      <c r="M307" s="18">
        <v>727957.48</v>
      </c>
      <c r="N307" s="18">
        <v>74805.23</v>
      </c>
    </row>
    <row r="308" spans="1:14">
      <c r="A308" s="20" t="s">
        <v>99</v>
      </c>
      <c r="B308" s="21">
        <v>45689</v>
      </c>
      <c r="C308" s="20" t="s">
        <v>25</v>
      </c>
      <c r="D308" s="20" t="s">
        <v>17</v>
      </c>
      <c r="E308" s="22">
        <v>46146.239999999998</v>
      </c>
      <c r="F308" s="20">
        <v>5804</v>
      </c>
      <c r="G308" s="23">
        <v>4.7E-2</v>
      </c>
      <c r="H308" s="20">
        <v>16</v>
      </c>
      <c r="I308" s="22">
        <v>86.9</v>
      </c>
      <c r="J308" s="22">
        <v>15.82</v>
      </c>
      <c r="K308" s="20">
        <v>0</v>
      </c>
      <c r="L308" s="22">
        <v>3.8</v>
      </c>
      <c r="M308" s="22">
        <v>538376</v>
      </c>
      <c r="N308" s="22">
        <v>87605.62</v>
      </c>
    </row>
    <row r="309" spans="1:14">
      <c r="A309" s="16" t="s">
        <v>99</v>
      </c>
      <c r="B309" s="17">
        <v>45717</v>
      </c>
      <c r="C309" s="16" t="s">
        <v>25</v>
      </c>
      <c r="D309" s="16" t="s">
        <v>17</v>
      </c>
      <c r="E309" s="18">
        <v>22387.26</v>
      </c>
      <c r="F309" s="16">
        <v>6301</v>
      </c>
      <c r="G309" s="19">
        <v>0.14599999999999999</v>
      </c>
      <c r="H309" s="16">
        <v>14</v>
      </c>
      <c r="I309" s="18">
        <v>85.9</v>
      </c>
      <c r="J309" s="18">
        <v>1.17</v>
      </c>
      <c r="K309" s="16">
        <v>1</v>
      </c>
      <c r="L309" s="18">
        <v>3.7</v>
      </c>
      <c r="M309" s="18">
        <v>665342.49</v>
      </c>
      <c r="N309" s="18">
        <v>93441.81</v>
      </c>
    </row>
    <row r="310" spans="1:14">
      <c r="A310" s="20" t="s">
        <v>99</v>
      </c>
      <c r="B310" s="21">
        <v>45748</v>
      </c>
      <c r="C310" s="20" t="s">
        <v>25</v>
      </c>
      <c r="D310" s="20" t="s">
        <v>17</v>
      </c>
      <c r="E310" s="22">
        <v>60684.05</v>
      </c>
      <c r="F310" s="20">
        <v>6399</v>
      </c>
      <c r="G310" s="23">
        <v>7.4999999999999997E-2</v>
      </c>
      <c r="H310" s="20">
        <v>16</v>
      </c>
      <c r="I310" s="22">
        <v>99</v>
      </c>
      <c r="J310" s="22">
        <v>3.82</v>
      </c>
      <c r="K310" s="20">
        <v>0</v>
      </c>
      <c r="L310" s="22">
        <v>3.5</v>
      </c>
      <c r="M310" s="22">
        <v>651164.18000000005</v>
      </c>
      <c r="N310" s="22">
        <v>109466.5</v>
      </c>
    </row>
    <row r="311" spans="1:14">
      <c r="A311" s="16" t="s">
        <v>100</v>
      </c>
      <c r="B311" s="17">
        <v>45658</v>
      </c>
      <c r="C311" s="16" t="s">
        <v>25</v>
      </c>
      <c r="D311" s="16" t="s">
        <v>19</v>
      </c>
      <c r="E311" s="18">
        <v>48465.599999999999</v>
      </c>
      <c r="F311" s="16">
        <v>5759</v>
      </c>
      <c r="G311" s="19">
        <v>0.154</v>
      </c>
      <c r="H311" s="16">
        <v>13</v>
      </c>
      <c r="I311" s="18">
        <v>87.5</v>
      </c>
      <c r="J311" s="18">
        <v>4.1399999999999997</v>
      </c>
      <c r="K311" s="16">
        <v>0</v>
      </c>
      <c r="L311" s="18">
        <v>4</v>
      </c>
      <c r="M311" s="18">
        <v>628538.30000000005</v>
      </c>
      <c r="N311" s="18">
        <v>112509.15</v>
      </c>
    </row>
    <row r="312" spans="1:14">
      <c r="A312" s="20" t="s">
        <v>100</v>
      </c>
      <c r="B312" s="21">
        <v>45689</v>
      </c>
      <c r="C312" s="20" t="s">
        <v>25</v>
      </c>
      <c r="D312" s="20" t="s">
        <v>19</v>
      </c>
      <c r="E312" s="22">
        <v>23702.38</v>
      </c>
      <c r="F312" s="20">
        <v>5285</v>
      </c>
      <c r="G312" s="23">
        <v>0.16700000000000001</v>
      </c>
      <c r="H312" s="20">
        <v>14</v>
      </c>
      <c r="I312" s="22">
        <v>79.7</v>
      </c>
      <c r="J312" s="22">
        <v>1.1000000000000001</v>
      </c>
      <c r="K312" s="20">
        <v>0</v>
      </c>
      <c r="L312" s="22">
        <v>4.3</v>
      </c>
      <c r="M312" s="22">
        <v>536524.84</v>
      </c>
      <c r="N312" s="22">
        <v>92752.94</v>
      </c>
    </row>
    <row r="313" spans="1:14">
      <c r="A313" s="16" t="s">
        <v>100</v>
      </c>
      <c r="B313" s="17">
        <v>45717</v>
      </c>
      <c r="C313" s="16" t="s">
        <v>25</v>
      </c>
      <c r="D313" s="16" t="s">
        <v>19</v>
      </c>
      <c r="E313" s="18">
        <v>54322.94</v>
      </c>
      <c r="F313" s="16">
        <v>5434</v>
      </c>
      <c r="G313" s="19">
        <v>0.2</v>
      </c>
      <c r="H313" s="16">
        <v>13</v>
      </c>
      <c r="I313" s="18">
        <v>85.7</v>
      </c>
      <c r="J313" s="18">
        <v>10.6</v>
      </c>
      <c r="K313" s="16">
        <v>0</v>
      </c>
      <c r="L313" s="18">
        <v>4.2</v>
      </c>
      <c r="M313" s="18">
        <v>621677.30000000005</v>
      </c>
      <c r="N313" s="18">
        <v>105192.52</v>
      </c>
    </row>
    <row r="314" spans="1:14">
      <c r="A314" s="20" t="s">
        <v>100</v>
      </c>
      <c r="B314" s="21">
        <v>45748</v>
      </c>
      <c r="C314" s="20" t="s">
        <v>25</v>
      </c>
      <c r="D314" s="20" t="s">
        <v>19</v>
      </c>
      <c r="E314" s="22">
        <v>86026.58</v>
      </c>
      <c r="F314" s="20">
        <v>7479</v>
      </c>
      <c r="G314" s="23">
        <v>0.14199999999999999</v>
      </c>
      <c r="H314" s="20">
        <v>20</v>
      </c>
      <c r="I314" s="22">
        <v>89</v>
      </c>
      <c r="J314" s="22">
        <v>0.9</v>
      </c>
      <c r="K314" s="20">
        <v>0</v>
      </c>
      <c r="L314" s="24"/>
      <c r="M314" s="22">
        <v>771129.07</v>
      </c>
      <c r="N314" s="22">
        <v>116851.13</v>
      </c>
    </row>
    <row r="315" spans="1:14">
      <c r="A315" s="16" t="s">
        <v>101</v>
      </c>
      <c r="B315" s="17">
        <v>45658</v>
      </c>
      <c r="C315" s="16" t="s">
        <v>21</v>
      </c>
      <c r="D315" s="16" t="s">
        <v>17</v>
      </c>
      <c r="E315" s="18">
        <v>78967.520000000004</v>
      </c>
      <c r="F315" s="16">
        <v>6164</v>
      </c>
      <c r="G315" s="19">
        <v>2.1000000000000001E-2</v>
      </c>
      <c r="H315" s="16">
        <v>16</v>
      </c>
      <c r="I315" s="18">
        <v>85.5</v>
      </c>
      <c r="J315" s="18">
        <v>0.2</v>
      </c>
      <c r="K315" s="16">
        <v>0</v>
      </c>
      <c r="L315" s="18">
        <v>3.4</v>
      </c>
      <c r="M315" s="18">
        <v>702052.47</v>
      </c>
      <c r="N315" s="18">
        <v>121732.51</v>
      </c>
    </row>
    <row r="316" spans="1:14">
      <c r="A316" s="20" t="s">
        <v>101</v>
      </c>
      <c r="B316" s="21">
        <v>45689</v>
      </c>
      <c r="C316" s="20" t="s">
        <v>21</v>
      </c>
      <c r="D316" s="20" t="s">
        <v>17</v>
      </c>
      <c r="E316" s="22">
        <v>46767.99</v>
      </c>
      <c r="F316" s="20">
        <v>7973</v>
      </c>
      <c r="G316" s="23">
        <v>0.183</v>
      </c>
      <c r="H316" s="20">
        <v>18</v>
      </c>
      <c r="I316" s="22">
        <v>94.8</v>
      </c>
      <c r="J316" s="22">
        <v>4.67</v>
      </c>
      <c r="K316" s="20">
        <v>0</v>
      </c>
      <c r="L316" s="24"/>
      <c r="M316" s="22">
        <v>688368.46</v>
      </c>
      <c r="N316" s="22">
        <v>93588.42</v>
      </c>
    </row>
    <row r="317" spans="1:14">
      <c r="A317" s="16" t="s">
        <v>101</v>
      </c>
      <c r="B317" s="17">
        <v>45717</v>
      </c>
      <c r="C317" s="16" t="s">
        <v>21</v>
      </c>
      <c r="D317" s="16" t="s">
        <v>17</v>
      </c>
      <c r="E317" s="18">
        <v>62507.16</v>
      </c>
      <c r="F317" s="16">
        <v>6000</v>
      </c>
      <c r="G317" s="19">
        <v>9.0999999999999998E-2</v>
      </c>
      <c r="H317" s="16">
        <v>14</v>
      </c>
      <c r="I317" s="18">
        <v>98.2</v>
      </c>
      <c r="J317" s="18">
        <v>4.38</v>
      </c>
      <c r="K317" s="16">
        <v>1</v>
      </c>
      <c r="L317" s="18">
        <v>3.9</v>
      </c>
      <c r="M317" s="18">
        <v>712375.77</v>
      </c>
      <c r="N317" s="18">
        <v>104171.53</v>
      </c>
    </row>
    <row r="318" spans="1:14">
      <c r="A318" s="20" t="s">
        <v>101</v>
      </c>
      <c r="B318" s="21">
        <v>45748</v>
      </c>
      <c r="C318" s="20" t="s">
        <v>21</v>
      </c>
      <c r="D318" s="20" t="s">
        <v>17</v>
      </c>
      <c r="E318" s="22">
        <v>66456.28</v>
      </c>
      <c r="F318" s="20">
        <v>9967</v>
      </c>
      <c r="G318" s="23">
        <v>0.108</v>
      </c>
      <c r="H318" s="20">
        <v>20</v>
      </c>
      <c r="I318" s="22">
        <v>94.7</v>
      </c>
      <c r="J318" s="22">
        <v>4.4800000000000004</v>
      </c>
      <c r="K318" s="20">
        <v>0</v>
      </c>
      <c r="L318" s="22">
        <v>4.2</v>
      </c>
      <c r="M318" s="22">
        <v>844710.67</v>
      </c>
      <c r="N318" s="22">
        <v>137140.18</v>
      </c>
    </row>
    <row r="319" spans="1:14">
      <c r="A319" s="16" t="s">
        <v>102</v>
      </c>
      <c r="B319" s="17">
        <v>45658</v>
      </c>
      <c r="C319" s="16" t="s">
        <v>16</v>
      </c>
      <c r="D319" s="16" t="s">
        <v>17</v>
      </c>
      <c r="E319" s="18">
        <v>76614.320000000007</v>
      </c>
      <c r="F319" s="16">
        <v>5639</v>
      </c>
      <c r="G319" s="19">
        <v>0.17399999999999999</v>
      </c>
      <c r="H319" s="16">
        <v>15</v>
      </c>
      <c r="I319" s="18">
        <v>92.9</v>
      </c>
      <c r="J319" s="18">
        <v>1.02</v>
      </c>
      <c r="K319" s="16">
        <v>1</v>
      </c>
      <c r="L319" s="18">
        <v>4</v>
      </c>
      <c r="M319" s="18">
        <v>620264.19999999995</v>
      </c>
      <c r="N319" s="18">
        <v>91365.64</v>
      </c>
    </row>
    <row r="320" spans="1:14">
      <c r="A320" s="20" t="s">
        <v>102</v>
      </c>
      <c r="B320" s="21">
        <v>45689</v>
      </c>
      <c r="C320" s="20" t="s">
        <v>16</v>
      </c>
      <c r="D320" s="20" t="s">
        <v>17</v>
      </c>
      <c r="E320" s="22">
        <v>24088.06</v>
      </c>
      <c r="F320" s="20">
        <v>3466</v>
      </c>
      <c r="G320" s="23">
        <v>0</v>
      </c>
      <c r="H320" s="20">
        <v>11</v>
      </c>
      <c r="I320" s="22">
        <v>88</v>
      </c>
      <c r="J320" s="22">
        <v>0.2</v>
      </c>
      <c r="K320" s="20">
        <v>0</v>
      </c>
      <c r="L320" s="22">
        <v>3.8</v>
      </c>
      <c r="M320" s="22">
        <v>536845.42000000004</v>
      </c>
      <c r="N320" s="22">
        <v>107473.75</v>
      </c>
    </row>
    <row r="321" spans="1:14">
      <c r="A321" s="16" t="s">
        <v>102</v>
      </c>
      <c r="B321" s="17">
        <v>45717</v>
      </c>
      <c r="C321" s="16" t="s">
        <v>16</v>
      </c>
      <c r="D321" s="16" t="s">
        <v>17</v>
      </c>
      <c r="E321" s="18">
        <v>81902.58</v>
      </c>
      <c r="F321" s="16">
        <v>7775</v>
      </c>
      <c r="G321" s="19">
        <v>0.215</v>
      </c>
      <c r="H321" s="16">
        <v>20</v>
      </c>
      <c r="I321" s="18">
        <v>85.2</v>
      </c>
      <c r="J321" s="18">
        <v>4.8899999999999997</v>
      </c>
      <c r="K321" s="16">
        <v>1</v>
      </c>
      <c r="L321" s="18">
        <v>4.2</v>
      </c>
      <c r="M321" s="18">
        <v>726776.22</v>
      </c>
      <c r="N321" s="18">
        <v>90804.49</v>
      </c>
    </row>
    <row r="322" spans="1:14">
      <c r="A322" s="20" t="s">
        <v>102</v>
      </c>
      <c r="B322" s="21">
        <v>45748</v>
      </c>
      <c r="C322" s="20" t="s">
        <v>16</v>
      </c>
      <c r="D322" s="20" t="s">
        <v>17</v>
      </c>
      <c r="E322" s="22">
        <v>40553.11</v>
      </c>
      <c r="F322" s="20">
        <v>5317</v>
      </c>
      <c r="G322" s="23">
        <v>0.16500000000000001</v>
      </c>
      <c r="H322" s="20">
        <v>17</v>
      </c>
      <c r="I322" s="22">
        <v>84.3</v>
      </c>
      <c r="J322" s="22">
        <v>11.82</v>
      </c>
      <c r="K322" s="20">
        <v>0</v>
      </c>
      <c r="L322" s="22">
        <v>4.0999999999999996</v>
      </c>
      <c r="M322" s="22">
        <v>559660.84</v>
      </c>
      <c r="N322" s="22">
        <v>71443.61</v>
      </c>
    </row>
    <row r="324" spans="1:14">
      <c r="A324" s="13" t="s">
        <v>103</v>
      </c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</row>
  </sheetData>
  <mergeCells count="2">
    <mergeCell ref="A1:N1"/>
    <mergeCell ref="A324:N32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>
  <dimension ref="A1:T325"/>
  <sheetViews>
    <sheetView workbookViewId="0">
      <pane ySplit="3" topLeftCell="A4" activePane="bottomLeft" state="frozen"/>
      <selection pane="bottomLeft" sqref="A1:T1"/>
    </sheetView>
  </sheetViews>
  <sheetFormatPr defaultColWidth="8.6640625" defaultRowHeight="14.4"/>
  <cols>
    <col min="1" max="1" width="11" customWidth="1"/>
    <col min="2" max="2" width="12" customWidth="1"/>
    <col min="3" max="3" width="8" customWidth="1"/>
    <col min="4" max="4" width="13" customWidth="1"/>
    <col min="5" max="20" width="14" customWidth="1"/>
  </cols>
  <sheetData>
    <row r="1" spans="1:20" ht="21.75" customHeight="1">
      <c r="A1" s="14" t="s">
        <v>104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</row>
    <row r="2" spans="1:20" ht="18" customHeight="1">
      <c r="A2" s="12" t="s">
        <v>105</v>
      </c>
      <c r="B2" s="12"/>
      <c r="C2" s="12"/>
      <c r="D2" s="12"/>
      <c r="E2" s="12"/>
      <c r="F2" s="12"/>
      <c r="G2" s="12"/>
      <c r="H2" s="12"/>
      <c r="I2" s="12"/>
      <c r="J2" s="12"/>
      <c r="K2" s="25" t="s">
        <v>106</v>
      </c>
      <c r="L2" s="26" t="s">
        <v>107</v>
      </c>
      <c r="M2" s="11" t="s">
        <v>108</v>
      </c>
      <c r="N2" s="11"/>
      <c r="O2" s="10" t="s">
        <v>109</v>
      </c>
      <c r="P2" s="10"/>
      <c r="Q2" s="9" t="s">
        <v>110</v>
      </c>
      <c r="R2" s="9"/>
      <c r="S2" s="9"/>
      <c r="T2" s="9"/>
    </row>
    <row r="3" spans="1:20" ht="31.5" customHeight="1">
      <c r="A3" s="27" t="s">
        <v>1</v>
      </c>
      <c r="B3" s="27" t="s">
        <v>2</v>
      </c>
      <c r="C3" s="27" t="s">
        <v>3</v>
      </c>
      <c r="D3" s="27" t="s">
        <v>4</v>
      </c>
      <c r="E3" s="27" t="s">
        <v>5</v>
      </c>
      <c r="F3" s="27" t="s">
        <v>6</v>
      </c>
      <c r="G3" s="27" t="s">
        <v>7</v>
      </c>
      <c r="H3" s="27" t="s">
        <v>8</v>
      </c>
      <c r="I3" s="27" t="s">
        <v>9</v>
      </c>
      <c r="J3" s="27" t="s">
        <v>10</v>
      </c>
      <c r="K3" s="27" t="s">
        <v>111</v>
      </c>
      <c r="L3" s="27" t="s">
        <v>11</v>
      </c>
      <c r="M3" s="27" t="s">
        <v>12</v>
      </c>
      <c r="N3" s="27" t="s">
        <v>112</v>
      </c>
      <c r="O3" s="27" t="s">
        <v>13</v>
      </c>
      <c r="P3" s="27" t="s">
        <v>14</v>
      </c>
      <c r="Q3" s="27" t="s">
        <v>113</v>
      </c>
      <c r="R3" s="27" t="s">
        <v>114</v>
      </c>
      <c r="S3" s="27" t="s">
        <v>115</v>
      </c>
      <c r="T3" s="27" t="s">
        <v>116</v>
      </c>
    </row>
    <row r="4" spans="1:20">
      <c r="A4" s="16" t="s">
        <v>15</v>
      </c>
      <c r="B4" s="17">
        <v>45658</v>
      </c>
      <c r="C4" s="16" t="s">
        <v>16</v>
      </c>
      <c r="D4" s="16" t="s">
        <v>17</v>
      </c>
      <c r="E4" s="18">
        <v>70389.11</v>
      </c>
      <c r="F4" s="18">
        <v>8302</v>
      </c>
      <c r="G4" s="19">
        <v>4.2000000000000003E-2</v>
      </c>
      <c r="H4" s="18">
        <v>17</v>
      </c>
      <c r="I4" s="18">
        <v>75</v>
      </c>
      <c r="J4" s="28">
        <v>5.28</v>
      </c>
      <c r="K4" s="18">
        <v>0</v>
      </c>
      <c r="L4" s="18">
        <v>1</v>
      </c>
      <c r="M4" s="18">
        <v>3.1</v>
      </c>
      <c r="N4" s="18">
        <v>0</v>
      </c>
      <c r="O4" s="18">
        <v>658832.62</v>
      </c>
      <c r="P4" s="18">
        <v>84349.93</v>
      </c>
      <c r="Q4" s="18">
        <v>0</v>
      </c>
      <c r="R4" s="28">
        <f>LN(E4)</f>
        <v>11.161793842680789</v>
      </c>
      <c r="S4" s="28">
        <f>LN(O4)</f>
        <v>13.398224790328198</v>
      </c>
      <c r="T4" s="28">
        <f>LN(F4)</f>
        <v>9.0242517286129846</v>
      </c>
    </row>
    <row r="5" spans="1:20">
      <c r="A5" s="20" t="s">
        <v>15</v>
      </c>
      <c r="B5" s="21">
        <v>45689</v>
      </c>
      <c r="C5" s="20" t="s">
        <v>16</v>
      </c>
      <c r="D5" s="20" t="s">
        <v>17</v>
      </c>
      <c r="E5" s="22">
        <v>43827.89</v>
      </c>
      <c r="F5" s="22">
        <v>8487</v>
      </c>
      <c r="G5" s="23">
        <v>0.16800000000000001</v>
      </c>
      <c r="H5" s="22">
        <v>23</v>
      </c>
      <c r="I5" s="22">
        <v>84.4</v>
      </c>
      <c r="J5" s="29">
        <v>4.3099999999999996</v>
      </c>
      <c r="K5" s="22">
        <v>0</v>
      </c>
      <c r="L5" s="22">
        <v>0</v>
      </c>
      <c r="M5" s="22">
        <v>2.8</v>
      </c>
      <c r="N5" s="22">
        <v>0</v>
      </c>
      <c r="O5" s="22">
        <v>634436</v>
      </c>
      <c r="P5" s="22">
        <v>106130.54</v>
      </c>
      <c r="Q5" s="22">
        <v>0</v>
      </c>
      <c r="R5" s="29">
        <f t="shared" ref="R5:R68" si="0">LN(E5)</f>
        <v>10.688025651711055</v>
      </c>
      <c r="S5" s="29">
        <f t="shared" ref="S5:S68" si="1">LN(O5)</f>
        <v>13.360491694224908</v>
      </c>
      <c r="T5" s="29">
        <f t="shared" ref="T5:T68" si="2">LN(F5)</f>
        <v>9.0462908599696767</v>
      </c>
    </row>
    <row r="6" spans="1:20">
      <c r="A6" s="16" t="s">
        <v>15</v>
      </c>
      <c r="B6" s="17">
        <v>45717</v>
      </c>
      <c r="C6" s="16" t="s">
        <v>16</v>
      </c>
      <c r="D6" s="16" t="s">
        <v>17</v>
      </c>
      <c r="E6" s="18">
        <v>59921.75</v>
      </c>
      <c r="F6" s="18">
        <v>9113</v>
      </c>
      <c r="G6" s="19">
        <v>0.13300000000000001</v>
      </c>
      <c r="H6" s="18">
        <v>20</v>
      </c>
      <c r="I6" s="18">
        <v>88</v>
      </c>
      <c r="J6" s="28">
        <v>12</v>
      </c>
      <c r="K6" s="18">
        <v>0</v>
      </c>
      <c r="L6" s="18">
        <v>0</v>
      </c>
      <c r="M6" s="18">
        <v>3.2</v>
      </c>
      <c r="N6" s="18">
        <v>0</v>
      </c>
      <c r="O6" s="18">
        <v>678722.06</v>
      </c>
      <c r="P6" s="18">
        <v>101883.86</v>
      </c>
      <c r="Q6" s="18">
        <v>0</v>
      </c>
      <c r="R6" s="28">
        <f t="shared" si="0"/>
        <v>11.000794823372102</v>
      </c>
      <c r="S6" s="28">
        <f t="shared" si="1"/>
        <v>13.42796698547879</v>
      </c>
      <c r="T6" s="28">
        <f t="shared" si="2"/>
        <v>9.1174572444961264</v>
      </c>
    </row>
    <row r="7" spans="1:20">
      <c r="A7" s="20" t="s">
        <v>15</v>
      </c>
      <c r="B7" s="21">
        <v>45748</v>
      </c>
      <c r="C7" s="20" t="s">
        <v>16</v>
      </c>
      <c r="D7" s="20" t="s">
        <v>17</v>
      </c>
      <c r="E7" s="22">
        <v>56856.63</v>
      </c>
      <c r="F7" s="22">
        <v>9431</v>
      </c>
      <c r="G7" s="23">
        <v>0.14199999999999999</v>
      </c>
      <c r="H7" s="22">
        <v>23</v>
      </c>
      <c r="I7" s="22">
        <v>86.9</v>
      </c>
      <c r="J7" s="29">
        <v>4.97</v>
      </c>
      <c r="K7" s="22">
        <v>0</v>
      </c>
      <c r="L7" s="22">
        <v>0</v>
      </c>
      <c r="M7" s="22">
        <v>3.4</v>
      </c>
      <c r="N7" s="22">
        <v>0</v>
      </c>
      <c r="O7" s="22">
        <v>658920.30000000005</v>
      </c>
      <c r="P7" s="22">
        <v>97910.37</v>
      </c>
      <c r="Q7" s="22">
        <v>0</v>
      </c>
      <c r="R7" s="29">
        <f t="shared" si="0"/>
        <v>10.948288115070078</v>
      </c>
      <c r="S7" s="29">
        <f t="shared" si="1"/>
        <v>13.39835786535129</v>
      </c>
      <c r="T7" s="29">
        <f t="shared" si="2"/>
        <v>9.1517574145438854</v>
      </c>
    </row>
    <row r="8" spans="1:20">
      <c r="A8" s="16" t="s">
        <v>18</v>
      </c>
      <c r="B8" s="17">
        <v>45658</v>
      </c>
      <c r="C8" s="16" t="s">
        <v>16</v>
      </c>
      <c r="D8" s="16" t="s">
        <v>19</v>
      </c>
      <c r="E8" s="18">
        <v>48412.639999999999</v>
      </c>
      <c r="F8" s="18">
        <v>9545</v>
      </c>
      <c r="G8" s="19">
        <v>0.23100000000000001</v>
      </c>
      <c r="H8" s="18">
        <v>21</v>
      </c>
      <c r="I8" s="18">
        <v>97.6</v>
      </c>
      <c r="J8" s="28">
        <v>6.94</v>
      </c>
      <c r="K8" s="18">
        <v>0</v>
      </c>
      <c r="L8" s="18">
        <v>1</v>
      </c>
      <c r="M8" s="18">
        <v>4.2</v>
      </c>
      <c r="N8" s="18">
        <v>0</v>
      </c>
      <c r="O8" s="18">
        <v>741341.44</v>
      </c>
      <c r="P8" s="18">
        <v>119208.17</v>
      </c>
      <c r="Q8" s="18">
        <v>0</v>
      </c>
      <c r="R8" s="28">
        <f t="shared" si="0"/>
        <v>10.787516215633957</v>
      </c>
      <c r="S8" s="28">
        <f t="shared" si="1"/>
        <v>13.51621658087651</v>
      </c>
      <c r="T8" s="28">
        <f t="shared" si="2"/>
        <v>9.1637727361598476</v>
      </c>
    </row>
    <row r="9" spans="1:20">
      <c r="A9" s="20" t="s">
        <v>18</v>
      </c>
      <c r="B9" s="21">
        <v>45689</v>
      </c>
      <c r="C9" s="20" t="s">
        <v>16</v>
      </c>
      <c r="D9" s="20" t="s">
        <v>19</v>
      </c>
      <c r="E9" s="22">
        <v>64811.21</v>
      </c>
      <c r="F9" s="22">
        <v>9792</v>
      </c>
      <c r="G9" s="23">
        <v>0.112</v>
      </c>
      <c r="H9" s="22">
        <v>20</v>
      </c>
      <c r="I9" s="22">
        <v>84.2</v>
      </c>
      <c r="J9" s="29">
        <v>2.88</v>
      </c>
      <c r="K9" s="22">
        <v>0</v>
      </c>
      <c r="L9" s="22">
        <v>0</v>
      </c>
      <c r="M9" s="22">
        <v>4.2</v>
      </c>
      <c r="N9" s="22">
        <v>0</v>
      </c>
      <c r="O9" s="22">
        <v>761835.34</v>
      </c>
      <c r="P9" s="22">
        <v>149602.23000000001</v>
      </c>
      <c r="Q9" s="22">
        <v>0</v>
      </c>
      <c r="R9" s="29">
        <f t="shared" si="0"/>
        <v>11.07923386120582</v>
      </c>
      <c r="S9" s="29">
        <f t="shared" si="1"/>
        <v>13.543485722079295</v>
      </c>
      <c r="T9" s="29">
        <f t="shared" si="2"/>
        <v>9.1893210047521077</v>
      </c>
    </row>
    <row r="10" spans="1:20">
      <c r="A10" s="16" t="s">
        <v>18</v>
      </c>
      <c r="B10" s="17">
        <v>45717</v>
      </c>
      <c r="C10" s="16" t="s">
        <v>16</v>
      </c>
      <c r="D10" s="16" t="s">
        <v>19</v>
      </c>
      <c r="E10" s="18">
        <v>46213.45</v>
      </c>
      <c r="F10" s="18">
        <v>10616</v>
      </c>
      <c r="G10" s="19">
        <v>0.122</v>
      </c>
      <c r="H10" s="18">
        <v>22</v>
      </c>
      <c r="I10" s="18">
        <v>85.2</v>
      </c>
      <c r="J10" s="28">
        <v>0.2</v>
      </c>
      <c r="K10" s="18">
        <v>0</v>
      </c>
      <c r="L10" s="18">
        <v>1</v>
      </c>
      <c r="M10" s="18">
        <v>4.0999999999999996</v>
      </c>
      <c r="N10" s="18">
        <v>0</v>
      </c>
      <c r="O10" s="18">
        <v>806615.54</v>
      </c>
      <c r="P10" s="18">
        <v>131364.62</v>
      </c>
      <c r="Q10" s="18">
        <v>0</v>
      </c>
      <c r="R10" s="28">
        <f t="shared" si="0"/>
        <v>10.741026160242138</v>
      </c>
      <c r="S10" s="28">
        <f t="shared" si="1"/>
        <v>13.600602427290863</v>
      </c>
      <c r="T10" s="28">
        <f t="shared" si="2"/>
        <v>9.2701175760120442</v>
      </c>
    </row>
    <row r="11" spans="1:20">
      <c r="A11" s="20" t="s">
        <v>18</v>
      </c>
      <c r="B11" s="21">
        <v>45748</v>
      </c>
      <c r="C11" s="20" t="s">
        <v>16</v>
      </c>
      <c r="D11" s="20" t="s">
        <v>19</v>
      </c>
      <c r="E11" s="22">
        <v>68148.52</v>
      </c>
      <c r="F11" s="22">
        <v>8567</v>
      </c>
      <c r="G11" s="23">
        <v>0.127</v>
      </c>
      <c r="H11" s="22">
        <v>23</v>
      </c>
      <c r="I11" s="22">
        <v>95.6</v>
      </c>
      <c r="J11" s="29">
        <v>0.8</v>
      </c>
      <c r="K11" s="22">
        <v>0</v>
      </c>
      <c r="L11" s="22">
        <v>0</v>
      </c>
      <c r="M11" s="22">
        <v>3.9</v>
      </c>
      <c r="N11" s="22">
        <v>0</v>
      </c>
      <c r="O11" s="22">
        <v>850164.26</v>
      </c>
      <c r="P11" s="22">
        <v>149262.75</v>
      </c>
      <c r="Q11" s="22">
        <v>0</v>
      </c>
      <c r="R11" s="29">
        <f t="shared" si="0"/>
        <v>11.129444720087692</v>
      </c>
      <c r="S11" s="29">
        <f t="shared" si="1"/>
        <v>13.653184856855516</v>
      </c>
      <c r="T11" s="29">
        <f t="shared" si="2"/>
        <v>9.0556728919640435</v>
      </c>
    </row>
    <row r="12" spans="1:20">
      <c r="A12" s="16" t="s">
        <v>20</v>
      </c>
      <c r="B12" s="17">
        <v>45658</v>
      </c>
      <c r="C12" s="16" t="s">
        <v>21</v>
      </c>
      <c r="D12" s="16" t="s">
        <v>22</v>
      </c>
      <c r="E12" s="18">
        <v>71838.86</v>
      </c>
      <c r="F12" s="18">
        <v>10979</v>
      </c>
      <c r="G12" s="19">
        <v>0.215</v>
      </c>
      <c r="H12" s="18">
        <v>26</v>
      </c>
      <c r="I12" s="18">
        <v>88.6</v>
      </c>
      <c r="J12" s="28">
        <v>7.7</v>
      </c>
      <c r="K12" s="18">
        <v>0</v>
      </c>
      <c r="L12" s="18">
        <v>1</v>
      </c>
      <c r="M12" s="18">
        <v>3.8</v>
      </c>
      <c r="N12" s="18">
        <v>0</v>
      </c>
      <c r="O12" s="18">
        <v>930581.7</v>
      </c>
      <c r="P12" s="18">
        <v>136207.98000000001</v>
      </c>
      <c r="Q12" s="18">
        <v>0</v>
      </c>
      <c r="R12" s="28">
        <f t="shared" si="0"/>
        <v>11.182180834253291</v>
      </c>
      <c r="S12" s="28">
        <f t="shared" si="1"/>
        <v>13.743565153466902</v>
      </c>
      <c r="T12" s="28">
        <f t="shared" si="2"/>
        <v>9.3037396362347327</v>
      </c>
    </row>
    <row r="13" spans="1:20">
      <c r="A13" s="20" t="s">
        <v>20</v>
      </c>
      <c r="B13" s="21">
        <v>45689</v>
      </c>
      <c r="C13" s="20" t="s">
        <v>21</v>
      </c>
      <c r="D13" s="20" t="s">
        <v>22</v>
      </c>
      <c r="E13" s="22">
        <v>68133.440000000002</v>
      </c>
      <c r="F13" s="22">
        <v>9459</v>
      </c>
      <c r="G13" s="23">
        <v>0.22</v>
      </c>
      <c r="H13" s="22">
        <v>21</v>
      </c>
      <c r="I13" s="22">
        <v>85</v>
      </c>
      <c r="J13" s="29">
        <v>1.91</v>
      </c>
      <c r="K13" s="22">
        <v>0</v>
      </c>
      <c r="L13" s="22">
        <v>0</v>
      </c>
      <c r="M13" s="22">
        <v>4.2</v>
      </c>
      <c r="N13" s="22">
        <v>0</v>
      </c>
      <c r="O13" s="22">
        <v>779010.94</v>
      </c>
      <c r="P13" s="22">
        <v>106328.09</v>
      </c>
      <c r="Q13" s="22">
        <v>0</v>
      </c>
      <c r="R13" s="29">
        <f t="shared" si="0"/>
        <v>11.129223414200082</v>
      </c>
      <c r="S13" s="29">
        <f t="shared" si="1"/>
        <v>13.565780368399974</v>
      </c>
      <c r="T13" s="29">
        <f t="shared" si="2"/>
        <v>9.1547219482131705</v>
      </c>
    </row>
    <row r="14" spans="1:20">
      <c r="A14" s="16" t="s">
        <v>20</v>
      </c>
      <c r="B14" s="17">
        <v>45717</v>
      </c>
      <c r="C14" s="16" t="s">
        <v>21</v>
      </c>
      <c r="D14" s="16" t="s">
        <v>22</v>
      </c>
      <c r="E14" s="18">
        <v>34285.21</v>
      </c>
      <c r="F14" s="18">
        <v>9172</v>
      </c>
      <c r="G14" s="19">
        <v>0.21299999999999999</v>
      </c>
      <c r="H14" s="18">
        <v>22</v>
      </c>
      <c r="I14" s="18">
        <v>88.3</v>
      </c>
      <c r="J14" s="28">
        <v>10.46</v>
      </c>
      <c r="K14" s="18">
        <v>0</v>
      </c>
      <c r="L14" s="18">
        <v>1</v>
      </c>
      <c r="M14" s="18">
        <v>3.8</v>
      </c>
      <c r="N14" s="18">
        <v>0</v>
      </c>
      <c r="O14" s="18">
        <v>723060.76</v>
      </c>
      <c r="P14" s="18">
        <v>123131.24</v>
      </c>
      <c r="Q14" s="18">
        <v>0</v>
      </c>
      <c r="R14" s="28">
        <f t="shared" si="0"/>
        <v>10.442469344827312</v>
      </c>
      <c r="S14" s="28">
        <f t="shared" si="1"/>
        <v>13.49124853633737</v>
      </c>
      <c r="T14" s="28">
        <f t="shared" si="2"/>
        <v>9.1239106439777959</v>
      </c>
    </row>
    <row r="15" spans="1:20">
      <c r="A15" s="20" t="s">
        <v>20</v>
      </c>
      <c r="B15" s="21">
        <v>45748</v>
      </c>
      <c r="C15" s="20" t="s">
        <v>21</v>
      </c>
      <c r="D15" s="20" t="s">
        <v>22</v>
      </c>
      <c r="E15" s="22">
        <v>67979.88</v>
      </c>
      <c r="F15" s="22">
        <v>11230</v>
      </c>
      <c r="G15" s="23">
        <v>2E-3</v>
      </c>
      <c r="H15" s="22">
        <v>28</v>
      </c>
      <c r="I15" s="22">
        <v>85.3</v>
      </c>
      <c r="J15" s="29">
        <v>7.16</v>
      </c>
      <c r="K15" s="22">
        <v>0</v>
      </c>
      <c r="L15" s="22">
        <v>0</v>
      </c>
      <c r="M15" s="22">
        <v>3.8</v>
      </c>
      <c r="N15" s="22">
        <v>0</v>
      </c>
      <c r="O15" s="22">
        <v>910791.94</v>
      </c>
      <c r="P15" s="22">
        <v>158891.28</v>
      </c>
      <c r="Q15" s="22">
        <v>0</v>
      </c>
      <c r="R15" s="29">
        <f t="shared" si="0"/>
        <v>11.126967058023483</v>
      </c>
      <c r="S15" s="29">
        <f t="shared" si="1"/>
        <v>13.722069763769369</v>
      </c>
      <c r="T15" s="29">
        <f t="shared" si="2"/>
        <v>9.3263440477324888</v>
      </c>
    </row>
    <row r="16" spans="1:20">
      <c r="A16" s="16" t="s">
        <v>23</v>
      </c>
      <c r="B16" s="17">
        <v>45658</v>
      </c>
      <c r="C16" s="16" t="s">
        <v>16</v>
      </c>
      <c r="D16" s="16" t="s">
        <v>17</v>
      </c>
      <c r="E16" s="18">
        <v>71828.259999999995</v>
      </c>
      <c r="F16" s="18">
        <v>12775</v>
      </c>
      <c r="G16" s="19">
        <v>0.11600000000000001</v>
      </c>
      <c r="H16" s="18">
        <v>30</v>
      </c>
      <c r="I16" s="18">
        <v>81.7</v>
      </c>
      <c r="J16" s="28">
        <v>4.24</v>
      </c>
      <c r="K16" s="18">
        <v>0</v>
      </c>
      <c r="L16" s="18">
        <v>1</v>
      </c>
      <c r="M16" s="18">
        <v>4.2</v>
      </c>
      <c r="N16" s="18">
        <v>0</v>
      </c>
      <c r="O16" s="18">
        <v>922168.6</v>
      </c>
      <c r="P16" s="18">
        <v>107494.53</v>
      </c>
      <c r="Q16" s="18">
        <v>0</v>
      </c>
      <c r="R16" s="28">
        <f t="shared" si="0"/>
        <v>11.182033270913548</v>
      </c>
      <c r="S16" s="28">
        <f t="shared" si="1"/>
        <v>13.734483349161833</v>
      </c>
      <c r="T16" s="28">
        <f t="shared" si="2"/>
        <v>9.4552454150719054</v>
      </c>
    </row>
    <row r="17" spans="1:20">
      <c r="A17" s="20" t="s">
        <v>23</v>
      </c>
      <c r="B17" s="21">
        <v>45689</v>
      </c>
      <c r="C17" s="20" t="s">
        <v>16</v>
      </c>
      <c r="D17" s="20" t="s">
        <v>17</v>
      </c>
      <c r="E17" s="22">
        <v>55716.82</v>
      </c>
      <c r="F17" s="22">
        <v>10054</v>
      </c>
      <c r="G17" s="23">
        <v>0.14599999999999999</v>
      </c>
      <c r="H17" s="22">
        <v>24</v>
      </c>
      <c r="I17" s="22">
        <v>84.9</v>
      </c>
      <c r="J17" s="29">
        <v>1.06</v>
      </c>
      <c r="K17" s="22">
        <v>0</v>
      </c>
      <c r="L17" s="22">
        <v>0</v>
      </c>
      <c r="M17" s="22">
        <v>4.3</v>
      </c>
      <c r="N17" s="22">
        <v>0</v>
      </c>
      <c r="O17" s="22">
        <v>726606.28</v>
      </c>
      <c r="P17" s="22">
        <v>122729.29</v>
      </c>
      <c r="Q17" s="22">
        <v>0</v>
      </c>
      <c r="R17" s="29">
        <f t="shared" si="0"/>
        <v>10.928037355195492</v>
      </c>
      <c r="S17" s="29">
        <f t="shared" si="1"/>
        <v>13.496140041726658</v>
      </c>
      <c r="T17" s="29">
        <f t="shared" si="2"/>
        <v>9.2157258442525212</v>
      </c>
    </row>
    <row r="18" spans="1:20">
      <c r="A18" s="16" t="s">
        <v>23</v>
      </c>
      <c r="B18" s="17">
        <v>45717</v>
      </c>
      <c r="C18" s="16" t="s">
        <v>16</v>
      </c>
      <c r="D18" s="16" t="s">
        <v>17</v>
      </c>
      <c r="E18" s="18">
        <v>59909.51</v>
      </c>
      <c r="F18" s="18">
        <v>8895</v>
      </c>
      <c r="G18" s="19">
        <v>0.22800000000000001</v>
      </c>
      <c r="H18" s="18">
        <v>23</v>
      </c>
      <c r="I18" s="18">
        <v>88.8</v>
      </c>
      <c r="J18" s="28">
        <v>0.27</v>
      </c>
      <c r="K18" s="18">
        <v>0</v>
      </c>
      <c r="L18" s="18">
        <v>0</v>
      </c>
      <c r="M18" s="18">
        <v>4.3</v>
      </c>
      <c r="N18" s="18">
        <v>0</v>
      </c>
      <c r="O18" s="18">
        <v>746501.09</v>
      </c>
      <c r="P18" s="18">
        <v>136816.72</v>
      </c>
      <c r="Q18" s="18">
        <v>0</v>
      </c>
      <c r="R18" s="28">
        <f t="shared" si="0"/>
        <v>11.000590536109454</v>
      </c>
      <c r="S18" s="28">
        <f t="shared" si="1"/>
        <v>13.523152356107671</v>
      </c>
      <c r="T18" s="28">
        <f t="shared" si="2"/>
        <v>9.0932446000999363</v>
      </c>
    </row>
    <row r="19" spans="1:20">
      <c r="A19" s="20" t="s">
        <v>23</v>
      </c>
      <c r="B19" s="21">
        <v>45748</v>
      </c>
      <c r="C19" s="20" t="s">
        <v>16</v>
      </c>
      <c r="D19" s="20" t="s">
        <v>17</v>
      </c>
      <c r="E19" s="22">
        <v>75305.710000000006</v>
      </c>
      <c r="F19" s="22">
        <v>10940</v>
      </c>
      <c r="G19" s="23">
        <v>6.0000000000000001E-3</v>
      </c>
      <c r="H19" s="22">
        <v>26</v>
      </c>
      <c r="I19" s="22">
        <v>76.5</v>
      </c>
      <c r="J19" s="29">
        <v>1.32</v>
      </c>
      <c r="K19" s="22">
        <v>0</v>
      </c>
      <c r="L19" s="22">
        <v>0</v>
      </c>
      <c r="M19" s="22">
        <v>4.5</v>
      </c>
      <c r="N19" s="22">
        <v>0</v>
      </c>
      <c r="O19" s="22">
        <v>834017.02</v>
      </c>
      <c r="P19" s="22">
        <v>114745.03</v>
      </c>
      <c r="Q19" s="22">
        <v>0</v>
      </c>
      <c r="R19" s="29">
        <f t="shared" si="0"/>
        <v>11.229311240926314</v>
      </c>
      <c r="S19" s="29">
        <f t="shared" si="1"/>
        <v>13.634009088806511</v>
      </c>
      <c r="T19" s="29">
        <f t="shared" si="2"/>
        <v>9.3001810759759724</v>
      </c>
    </row>
    <row r="20" spans="1:20">
      <c r="A20" s="16" t="s">
        <v>24</v>
      </c>
      <c r="B20" s="17">
        <v>45658</v>
      </c>
      <c r="C20" s="16" t="s">
        <v>25</v>
      </c>
      <c r="D20" s="16" t="s">
        <v>17</v>
      </c>
      <c r="E20" s="18">
        <v>48804.22</v>
      </c>
      <c r="F20" s="18">
        <v>7057</v>
      </c>
      <c r="G20" s="19">
        <v>5.0000000000000001E-3</v>
      </c>
      <c r="H20" s="18">
        <v>15</v>
      </c>
      <c r="I20" s="18">
        <v>87.7</v>
      </c>
      <c r="J20" s="28">
        <v>1.22</v>
      </c>
      <c r="K20" s="18">
        <v>0</v>
      </c>
      <c r="L20" s="18">
        <v>0</v>
      </c>
      <c r="M20" s="18">
        <v>3.7</v>
      </c>
      <c r="N20" s="18">
        <v>0</v>
      </c>
      <c r="O20" s="18">
        <v>666152.52</v>
      </c>
      <c r="P20" s="18">
        <v>107490.58</v>
      </c>
      <c r="Q20" s="18">
        <v>0</v>
      </c>
      <c r="R20" s="28">
        <f t="shared" si="0"/>
        <v>10.795572063512292</v>
      </c>
      <c r="S20" s="28">
        <f t="shared" si="1"/>
        <v>13.409273932312974</v>
      </c>
      <c r="T20" s="28">
        <f t="shared" si="2"/>
        <v>8.8617753110008302</v>
      </c>
    </row>
    <row r="21" spans="1:20">
      <c r="A21" s="20" t="s">
        <v>24</v>
      </c>
      <c r="B21" s="21">
        <v>45689</v>
      </c>
      <c r="C21" s="20" t="s">
        <v>25</v>
      </c>
      <c r="D21" s="20" t="s">
        <v>17</v>
      </c>
      <c r="E21" s="22">
        <v>59117.9</v>
      </c>
      <c r="F21" s="22">
        <v>4263</v>
      </c>
      <c r="G21" s="23">
        <v>0.11899999999999999</v>
      </c>
      <c r="H21" s="22">
        <v>9</v>
      </c>
      <c r="I21" s="22">
        <v>87.6</v>
      </c>
      <c r="J21" s="29">
        <v>4.01</v>
      </c>
      <c r="K21" s="22">
        <v>0</v>
      </c>
      <c r="L21" s="22">
        <v>0</v>
      </c>
      <c r="M21" s="22">
        <v>3.6</v>
      </c>
      <c r="N21" s="22">
        <v>0</v>
      </c>
      <c r="O21" s="22">
        <v>573155.18999999994</v>
      </c>
      <c r="P21" s="22">
        <v>83680.75</v>
      </c>
      <c r="Q21" s="22">
        <v>0</v>
      </c>
      <c r="R21" s="29">
        <f t="shared" si="0"/>
        <v>10.987289034016909</v>
      </c>
      <c r="S21" s="29">
        <f t="shared" si="1"/>
        <v>13.258911796723304</v>
      </c>
      <c r="T21" s="29">
        <f t="shared" si="2"/>
        <v>8.3577284167652106</v>
      </c>
    </row>
    <row r="22" spans="1:20">
      <c r="A22" s="16" t="s">
        <v>24</v>
      </c>
      <c r="B22" s="17">
        <v>45717</v>
      </c>
      <c r="C22" s="16" t="s">
        <v>25</v>
      </c>
      <c r="D22" s="16" t="s">
        <v>17</v>
      </c>
      <c r="E22" s="18">
        <v>78831.12</v>
      </c>
      <c r="F22" s="18">
        <v>5538</v>
      </c>
      <c r="G22" s="19">
        <v>0</v>
      </c>
      <c r="H22" s="18">
        <v>15</v>
      </c>
      <c r="I22" s="18">
        <v>94.1</v>
      </c>
      <c r="J22" s="28">
        <v>0.2</v>
      </c>
      <c r="K22" s="18">
        <v>0</v>
      </c>
      <c r="L22" s="18">
        <v>0</v>
      </c>
      <c r="M22" s="18">
        <v>3.9</v>
      </c>
      <c r="N22" s="18">
        <v>0</v>
      </c>
      <c r="O22" s="18">
        <v>666573.19999999995</v>
      </c>
      <c r="P22" s="18">
        <v>140641.01999999999</v>
      </c>
      <c r="Q22" s="18">
        <v>0</v>
      </c>
      <c r="R22" s="28">
        <f t="shared" si="0"/>
        <v>11.275063121741937</v>
      </c>
      <c r="S22" s="28">
        <f t="shared" si="1"/>
        <v>13.409905240027172</v>
      </c>
      <c r="T22" s="28">
        <f t="shared" si="2"/>
        <v>8.6193887037309072</v>
      </c>
    </row>
    <row r="23" spans="1:20">
      <c r="A23" s="20" t="s">
        <v>24</v>
      </c>
      <c r="B23" s="21">
        <v>45748</v>
      </c>
      <c r="C23" s="20" t="s">
        <v>25</v>
      </c>
      <c r="D23" s="20" t="s">
        <v>17</v>
      </c>
      <c r="E23" s="22">
        <v>41441.93</v>
      </c>
      <c r="F23" s="22">
        <v>4865</v>
      </c>
      <c r="G23" s="23">
        <v>0.158</v>
      </c>
      <c r="H23" s="22">
        <v>16</v>
      </c>
      <c r="I23" s="22">
        <v>88.3</v>
      </c>
      <c r="J23" s="29">
        <v>0.5</v>
      </c>
      <c r="K23" s="22">
        <v>0</v>
      </c>
      <c r="L23" s="22">
        <v>0</v>
      </c>
      <c r="M23" s="22">
        <v>4</v>
      </c>
      <c r="N23" s="22">
        <v>0</v>
      </c>
      <c r="O23" s="22">
        <v>591619.94999999995</v>
      </c>
      <c r="P23" s="22">
        <v>99521.35</v>
      </c>
      <c r="Q23" s="22">
        <v>0</v>
      </c>
      <c r="R23" s="29">
        <f t="shared" si="0"/>
        <v>10.632048449207932</v>
      </c>
      <c r="S23" s="29">
        <f t="shared" si="1"/>
        <v>13.290619731359739</v>
      </c>
      <c r="T23" s="29">
        <f t="shared" si="2"/>
        <v>8.4898219946201046</v>
      </c>
    </row>
    <row r="24" spans="1:20">
      <c r="A24" s="16" t="s">
        <v>26</v>
      </c>
      <c r="B24" s="17">
        <v>45658</v>
      </c>
      <c r="C24" s="16" t="s">
        <v>21</v>
      </c>
      <c r="D24" s="16" t="s">
        <v>17</v>
      </c>
      <c r="E24" s="18">
        <v>30356.28</v>
      </c>
      <c r="F24" s="18">
        <v>2822</v>
      </c>
      <c r="G24" s="19">
        <v>0.23100000000000001</v>
      </c>
      <c r="H24" s="18">
        <v>9</v>
      </c>
      <c r="I24" s="18">
        <v>84.8</v>
      </c>
      <c r="J24" s="28">
        <v>6.95</v>
      </c>
      <c r="K24" s="18">
        <v>0</v>
      </c>
      <c r="L24" s="18">
        <v>0</v>
      </c>
      <c r="M24" s="18">
        <v>5</v>
      </c>
      <c r="N24" s="18">
        <v>0</v>
      </c>
      <c r="O24" s="18">
        <v>415721.82</v>
      </c>
      <c r="P24" s="18">
        <v>61179.15</v>
      </c>
      <c r="Q24" s="18">
        <v>0</v>
      </c>
      <c r="R24" s="28">
        <f t="shared" si="0"/>
        <v>10.320758694357927</v>
      </c>
      <c r="S24" s="28">
        <f t="shared" si="1"/>
        <v>12.93777161363947</v>
      </c>
      <c r="T24" s="28">
        <f t="shared" si="2"/>
        <v>7.9452011324127589</v>
      </c>
    </row>
    <row r="25" spans="1:20">
      <c r="A25" s="20" t="s">
        <v>26</v>
      </c>
      <c r="B25" s="21">
        <v>45689</v>
      </c>
      <c r="C25" s="20" t="s">
        <v>21</v>
      </c>
      <c r="D25" s="20" t="s">
        <v>17</v>
      </c>
      <c r="E25" s="22">
        <v>33518.879999999997</v>
      </c>
      <c r="F25" s="22">
        <v>2121</v>
      </c>
      <c r="G25" s="23">
        <v>0.17599999999999999</v>
      </c>
      <c r="H25" s="22">
        <v>8</v>
      </c>
      <c r="I25" s="22">
        <v>88.5</v>
      </c>
      <c r="J25" s="29">
        <v>0.2</v>
      </c>
      <c r="K25" s="22">
        <v>0</v>
      </c>
      <c r="L25" s="22">
        <v>0</v>
      </c>
      <c r="M25" s="22">
        <v>5</v>
      </c>
      <c r="N25" s="22">
        <v>0</v>
      </c>
      <c r="O25" s="22">
        <v>491905.13</v>
      </c>
      <c r="P25" s="22">
        <v>79212.259999999995</v>
      </c>
      <c r="Q25" s="22">
        <v>0</v>
      </c>
      <c r="R25" s="29">
        <f t="shared" si="0"/>
        <v>10.419864141149969</v>
      </c>
      <c r="S25" s="29">
        <f t="shared" si="1"/>
        <v>13.106041151678024</v>
      </c>
      <c r="T25" s="29">
        <f t="shared" si="2"/>
        <v>7.6596429545646822</v>
      </c>
    </row>
    <row r="26" spans="1:20">
      <c r="A26" s="16" t="s">
        <v>26</v>
      </c>
      <c r="B26" s="17">
        <v>45717</v>
      </c>
      <c r="C26" s="16" t="s">
        <v>21</v>
      </c>
      <c r="D26" s="16" t="s">
        <v>17</v>
      </c>
      <c r="E26" s="18">
        <v>42267.37</v>
      </c>
      <c r="F26" s="18">
        <v>3364</v>
      </c>
      <c r="G26" s="19">
        <v>0.16</v>
      </c>
      <c r="H26" s="18">
        <v>13</v>
      </c>
      <c r="I26" s="18">
        <v>82</v>
      </c>
      <c r="J26" s="28">
        <v>1.61</v>
      </c>
      <c r="K26" s="18">
        <v>0</v>
      </c>
      <c r="L26" s="18">
        <v>1</v>
      </c>
      <c r="M26" s="18">
        <v>4.5999999999999996</v>
      </c>
      <c r="N26" s="18">
        <v>0</v>
      </c>
      <c r="O26" s="18">
        <v>555929.4</v>
      </c>
      <c r="P26" s="18">
        <v>115201.76</v>
      </c>
      <c r="Q26" s="18">
        <v>0</v>
      </c>
      <c r="R26" s="28">
        <f t="shared" si="0"/>
        <v>10.651770672557252</v>
      </c>
      <c r="S26" s="28">
        <f t="shared" si="1"/>
        <v>13.228396586753011</v>
      </c>
      <c r="T26" s="28">
        <f t="shared" si="2"/>
        <v>8.1208860210928382</v>
      </c>
    </row>
    <row r="27" spans="1:20">
      <c r="A27" s="20" t="s">
        <v>26</v>
      </c>
      <c r="B27" s="21">
        <v>45748</v>
      </c>
      <c r="C27" s="20" t="s">
        <v>21</v>
      </c>
      <c r="D27" s="20" t="s">
        <v>17</v>
      </c>
      <c r="E27" s="22">
        <v>62060.43</v>
      </c>
      <c r="F27" s="22">
        <v>2613</v>
      </c>
      <c r="G27" s="23">
        <v>0.216</v>
      </c>
      <c r="H27" s="22">
        <v>12</v>
      </c>
      <c r="I27" s="22">
        <v>92.1</v>
      </c>
      <c r="J27" s="29">
        <v>1.55</v>
      </c>
      <c r="K27" s="22">
        <v>0</v>
      </c>
      <c r="L27" s="22">
        <v>0</v>
      </c>
      <c r="M27" s="22">
        <v>4.7</v>
      </c>
      <c r="N27" s="22">
        <v>0</v>
      </c>
      <c r="O27" s="22">
        <v>565810.99</v>
      </c>
      <c r="P27" s="22">
        <v>77825.460000000006</v>
      </c>
      <c r="Q27" s="22">
        <v>0</v>
      </c>
      <c r="R27" s="29">
        <f t="shared" si="0"/>
        <v>11.035863866756969</v>
      </c>
      <c r="S27" s="29">
        <f t="shared" si="1"/>
        <v>13.246015361485636</v>
      </c>
      <c r="T27" s="29">
        <f t="shared" si="2"/>
        <v>7.8682542655206129</v>
      </c>
    </row>
    <row r="28" spans="1:20">
      <c r="A28" s="16" t="s">
        <v>27</v>
      </c>
      <c r="B28" s="17">
        <v>45658</v>
      </c>
      <c r="C28" s="16" t="s">
        <v>28</v>
      </c>
      <c r="D28" s="16" t="s">
        <v>29</v>
      </c>
      <c r="E28" s="18">
        <v>57696.69</v>
      </c>
      <c r="F28" s="18">
        <v>10218</v>
      </c>
      <c r="G28" s="19">
        <v>0.121</v>
      </c>
      <c r="H28" s="18">
        <v>25</v>
      </c>
      <c r="I28" s="18">
        <v>94.8</v>
      </c>
      <c r="J28" s="28">
        <v>2.99</v>
      </c>
      <c r="K28" s="18">
        <v>0</v>
      </c>
      <c r="L28" s="18">
        <v>0</v>
      </c>
      <c r="M28" s="18">
        <v>3.5</v>
      </c>
      <c r="N28" s="18">
        <v>0</v>
      </c>
      <c r="O28" s="18">
        <v>811771.14</v>
      </c>
      <c r="P28" s="18">
        <v>148756.24</v>
      </c>
      <c r="Q28" s="18">
        <v>0</v>
      </c>
      <c r="R28" s="28">
        <f t="shared" si="0"/>
        <v>10.962955085166142</v>
      </c>
      <c r="S28" s="28">
        <f t="shared" si="1"/>
        <v>13.606973732126763</v>
      </c>
      <c r="T28" s="28">
        <f t="shared" si="2"/>
        <v>9.2319061498907438</v>
      </c>
    </row>
    <row r="29" spans="1:20">
      <c r="A29" s="20" t="s">
        <v>27</v>
      </c>
      <c r="B29" s="21">
        <v>45689</v>
      </c>
      <c r="C29" s="20" t="s">
        <v>28</v>
      </c>
      <c r="D29" s="20" t="s">
        <v>29</v>
      </c>
      <c r="E29" s="22">
        <v>172415.52</v>
      </c>
      <c r="F29" s="22">
        <v>8927</v>
      </c>
      <c r="G29" s="23">
        <v>0.14000000000000001</v>
      </c>
      <c r="H29" s="22">
        <v>22</v>
      </c>
      <c r="I29" s="22">
        <v>86.2</v>
      </c>
      <c r="J29" s="29">
        <v>7.04</v>
      </c>
      <c r="K29" s="22">
        <v>0</v>
      </c>
      <c r="L29" s="22">
        <v>0</v>
      </c>
      <c r="M29" s="22">
        <v>3.9</v>
      </c>
      <c r="N29" s="22">
        <v>0</v>
      </c>
      <c r="O29" s="22">
        <v>800451.94</v>
      </c>
      <c r="P29" s="22">
        <v>111572.29</v>
      </c>
      <c r="Q29" s="30">
        <v>1</v>
      </c>
      <c r="R29" s="29">
        <f t="shared" si="0"/>
        <v>12.057662656361741</v>
      </c>
      <c r="S29" s="29">
        <f t="shared" si="1"/>
        <v>13.592931772140007</v>
      </c>
      <c r="T29" s="29">
        <f t="shared" si="2"/>
        <v>9.0968356711793614</v>
      </c>
    </row>
    <row r="30" spans="1:20">
      <c r="A30" s="16" t="s">
        <v>27</v>
      </c>
      <c r="B30" s="17">
        <v>45717</v>
      </c>
      <c r="C30" s="16" t="s">
        <v>28</v>
      </c>
      <c r="D30" s="16" t="s">
        <v>29</v>
      </c>
      <c r="E30" s="18">
        <v>55270.52</v>
      </c>
      <c r="F30" s="18">
        <v>9315</v>
      </c>
      <c r="G30" s="19">
        <v>0.16900000000000001</v>
      </c>
      <c r="H30" s="18">
        <v>23</v>
      </c>
      <c r="I30" s="18">
        <v>91.9</v>
      </c>
      <c r="J30" s="28">
        <v>4.9400000000000004</v>
      </c>
      <c r="K30" s="18">
        <v>0</v>
      </c>
      <c r="L30" s="18">
        <v>0</v>
      </c>
      <c r="M30" s="18">
        <v>4</v>
      </c>
      <c r="N30" s="18">
        <v>0</v>
      </c>
      <c r="O30" s="18">
        <v>783672.82</v>
      </c>
      <c r="P30" s="18">
        <v>112577.14</v>
      </c>
      <c r="Q30" s="18">
        <v>0</v>
      </c>
      <c r="R30" s="28">
        <f t="shared" si="0"/>
        <v>10.919994953142016</v>
      </c>
      <c r="S30" s="28">
        <f t="shared" si="1"/>
        <v>13.571746890801151</v>
      </c>
      <c r="T30" s="28">
        <f t="shared" si="2"/>
        <v>9.1393812830356893</v>
      </c>
    </row>
    <row r="31" spans="1:20">
      <c r="A31" s="20" t="s">
        <v>27</v>
      </c>
      <c r="B31" s="21">
        <v>45748</v>
      </c>
      <c r="C31" s="20" t="s">
        <v>28</v>
      </c>
      <c r="D31" s="20" t="s">
        <v>29</v>
      </c>
      <c r="E31" s="22">
        <v>52715.1</v>
      </c>
      <c r="F31" s="22">
        <v>7223</v>
      </c>
      <c r="G31" s="23">
        <v>0.122</v>
      </c>
      <c r="H31" s="22">
        <v>16</v>
      </c>
      <c r="I31" s="22">
        <v>84.2</v>
      </c>
      <c r="J31" s="29">
        <v>16.149999999999999</v>
      </c>
      <c r="K31" s="22">
        <v>0</v>
      </c>
      <c r="L31" s="22">
        <v>0</v>
      </c>
      <c r="M31" s="22">
        <v>3.7</v>
      </c>
      <c r="N31" s="22">
        <v>0</v>
      </c>
      <c r="O31" s="22">
        <v>701641.97</v>
      </c>
      <c r="P31" s="22">
        <v>106111.86</v>
      </c>
      <c r="Q31" s="22">
        <v>0</v>
      </c>
      <c r="R31" s="29">
        <f t="shared" si="0"/>
        <v>10.872657221002516</v>
      </c>
      <c r="S31" s="29">
        <f t="shared" si="1"/>
        <v>13.46117853866143</v>
      </c>
      <c r="T31" s="29">
        <f t="shared" si="2"/>
        <v>8.8850256580508464</v>
      </c>
    </row>
    <row r="32" spans="1:20">
      <c r="A32" s="16" t="s">
        <v>30</v>
      </c>
      <c r="B32" s="17">
        <v>45658</v>
      </c>
      <c r="C32" s="16" t="s">
        <v>16</v>
      </c>
      <c r="D32" s="16" t="s">
        <v>17</v>
      </c>
      <c r="E32" s="18">
        <v>68600.62</v>
      </c>
      <c r="F32" s="18">
        <v>3988</v>
      </c>
      <c r="G32" s="19">
        <v>0.124</v>
      </c>
      <c r="H32" s="18">
        <v>11</v>
      </c>
      <c r="I32" s="18">
        <v>85</v>
      </c>
      <c r="J32" s="28">
        <v>0.48</v>
      </c>
      <c r="K32" s="18">
        <v>0</v>
      </c>
      <c r="L32" s="18">
        <v>0</v>
      </c>
      <c r="M32" s="18">
        <v>3.6</v>
      </c>
      <c r="N32" s="18">
        <v>0</v>
      </c>
      <c r="O32" s="18">
        <v>511844.41</v>
      </c>
      <c r="P32" s="18">
        <v>72774.44</v>
      </c>
      <c r="Q32" s="18">
        <v>0</v>
      </c>
      <c r="R32" s="28">
        <f t="shared" si="0"/>
        <v>11.136056851574009</v>
      </c>
      <c r="S32" s="28">
        <f t="shared" si="1"/>
        <v>13.145775971119969</v>
      </c>
      <c r="T32" s="28">
        <f t="shared" si="2"/>
        <v>8.291045131081729</v>
      </c>
    </row>
    <row r="33" spans="1:20">
      <c r="A33" s="20" t="s">
        <v>30</v>
      </c>
      <c r="B33" s="21">
        <v>45689</v>
      </c>
      <c r="C33" s="20" t="s">
        <v>16</v>
      </c>
      <c r="D33" s="20" t="s">
        <v>17</v>
      </c>
      <c r="E33" s="22">
        <v>63176.73</v>
      </c>
      <c r="F33" s="22">
        <v>2390</v>
      </c>
      <c r="G33" s="23">
        <v>0.216</v>
      </c>
      <c r="H33" s="22">
        <v>9</v>
      </c>
      <c r="I33" s="22">
        <v>87.5</v>
      </c>
      <c r="J33" s="29">
        <v>0.31</v>
      </c>
      <c r="K33" s="22">
        <v>0</v>
      </c>
      <c r="L33" s="22">
        <v>0</v>
      </c>
      <c r="M33" s="22">
        <v>3.1</v>
      </c>
      <c r="N33" s="22">
        <v>0</v>
      </c>
      <c r="O33" s="22">
        <v>537383.79</v>
      </c>
      <c r="P33" s="22">
        <v>63773.27</v>
      </c>
      <c r="Q33" s="22">
        <v>0</v>
      </c>
      <c r="R33" s="29">
        <f t="shared" si="0"/>
        <v>11.053691316131552</v>
      </c>
      <c r="S33" s="29">
        <f t="shared" si="1"/>
        <v>13.194467810957198</v>
      </c>
      <c r="T33" s="29">
        <f t="shared" si="2"/>
        <v>7.779048644925556</v>
      </c>
    </row>
    <row r="34" spans="1:20">
      <c r="A34" s="16" t="s">
        <v>30</v>
      </c>
      <c r="B34" s="17">
        <v>45717</v>
      </c>
      <c r="C34" s="16" t="s">
        <v>16</v>
      </c>
      <c r="D34" s="16" t="s">
        <v>17</v>
      </c>
      <c r="E34" s="18">
        <v>44970.080000000002</v>
      </c>
      <c r="F34" s="18">
        <v>2471</v>
      </c>
      <c r="G34" s="19">
        <v>0.13600000000000001</v>
      </c>
      <c r="H34" s="18">
        <v>11</v>
      </c>
      <c r="I34" s="18">
        <v>87.6</v>
      </c>
      <c r="J34" s="28">
        <v>3.01</v>
      </c>
      <c r="K34" s="18">
        <v>0</v>
      </c>
      <c r="L34" s="18">
        <v>1</v>
      </c>
      <c r="M34" s="18">
        <v>3.7</v>
      </c>
      <c r="N34" s="18">
        <v>0</v>
      </c>
      <c r="O34" s="18">
        <v>500173.02</v>
      </c>
      <c r="P34" s="18">
        <v>70982.05</v>
      </c>
      <c r="Q34" s="18">
        <v>0</v>
      </c>
      <c r="R34" s="28">
        <f t="shared" si="0"/>
        <v>10.713752658726925</v>
      </c>
      <c r="S34" s="28">
        <f t="shared" si="1"/>
        <v>13.122709357546297</v>
      </c>
      <c r="T34" s="28">
        <f t="shared" si="2"/>
        <v>7.81237820598861</v>
      </c>
    </row>
    <row r="35" spans="1:20">
      <c r="A35" s="20" t="s">
        <v>30</v>
      </c>
      <c r="B35" s="21">
        <v>45748</v>
      </c>
      <c r="C35" s="20" t="s">
        <v>16</v>
      </c>
      <c r="D35" s="20" t="s">
        <v>17</v>
      </c>
      <c r="E35" s="22">
        <v>69816.350000000006</v>
      </c>
      <c r="F35" s="22">
        <v>971</v>
      </c>
      <c r="G35" s="23">
        <v>0.16800000000000001</v>
      </c>
      <c r="H35" s="22">
        <v>5</v>
      </c>
      <c r="I35" s="22">
        <v>89.9</v>
      </c>
      <c r="J35" s="29">
        <v>12.15</v>
      </c>
      <c r="K35" s="22">
        <v>0</v>
      </c>
      <c r="L35" s="22">
        <v>0</v>
      </c>
      <c r="M35" s="22">
        <v>3.6</v>
      </c>
      <c r="N35" s="22">
        <v>0</v>
      </c>
      <c r="O35" s="22">
        <v>427917.38</v>
      </c>
      <c r="P35" s="22">
        <v>81824.31</v>
      </c>
      <c r="Q35" s="22">
        <v>0</v>
      </c>
      <c r="R35" s="29">
        <f t="shared" si="0"/>
        <v>11.153623502008077</v>
      </c>
      <c r="S35" s="29">
        <f t="shared" si="1"/>
        <v>12.966685418546643</v>
      </c>
      <c r="T35" s="29">
        <f t="shared" si="2"/>
        <v>6.8783264682913252</v>
      </c>
    </row>
    <row r="36" spans="1:20">
      <c r="A36" s="16" t="s">
        <v>31</v>
      </c>
      <c r="B36" s="17">
        <v>45658</v>
      </c>
      <c r="C36" s="16" t="s">
        <v>21</v>
      </c>
      <c r="D36" s="16" t="s">
        <v>17</v>
      </c>
      <c r="E36" s="18">
        <v>54597.83</v>
      </c>
      <c r="F36" s="18">
        <v>9429</v>
      </c>
      <c r="G36" s="19">
        <v>0.188</v>
      </c>
      <c r="H36" s="18">
        <v>21</v>
      </c>
      <c r="I36" s="18">
        <v>83.3</v>
      </c>
      <c r="J36" s="28">
        <v>11.71</v>
      </c>
      <c r="K36" s="18">
        <v>0</v>
      </c>
      <c r="L36" s="18">
        <v>0</v>
      </c>
      <c r="M36" s="18">
        <v>4.2</v>
      </c>
      <c r="N36" s="18">
        <v>0</v>
      </c>
      <c r="O36" s="18">
        <v>641865.03</v>
      </c>
      <c r="P36" s="18">
        <v>81342.58</v>
      </c>
      <c r="Q36" s="18">
        <v>0</v>
      </c>
      <c r="R36" s="28">
        <f t="shared" si="0"/>
        <v>10.907749417353456</v>
      </c>
      <c r="S36" s="28">
        <f t="shared" si="1"/>
        <v>13.372133326925049</v>
      </c>
      <c r="T36" s="28">
        <f t="shared" si="2"/>
        <v>9.151545325465678</v>
      </c>
    </row>
    <row r="37" spans="1:20">
      <c r="A37" s="20" t="s">
        <v>31</v>
      </c>
      <c r="B37" s="21">
        <v>45689</v>
      </c>
      <c r="C37" s="20" t="s">
        <v>21</v>
      </c>
      <c r="D37" s="20" t="s">
        <v>17</v>
      </c>
      <c r="E37" s="22">
        <v>73771.91</v>
      </c>
      <c r="F37" s="22">
        <v>11695</v>
      </c>
      <c r="G37" s="23">
        <v>7.0000000000000007E-2</v>
      </c>
      <c r="H37" s="22">
        <v>25</v>
      </c>
      <c r="I37" s="22">
        <v>84.7</v>
      </c>
      <c r="J37" s="29">
        <v>0.62</v>
      </c>
      <c r="K37" s="22">
        <v>0</v>
      </c>
      <c r="L37" s="22">
        <v>0</v>
      </c>
      <c r="M37" s="22">
        <v>4</v>
      </c>
      <c r="N37" s="31">
        <v>1</v>
      </c>
      <c r="O37" s="22">
        <v>799477.76000000001</v>
      </c>
      <c r="P37" s="22">
        <v>164974.41</v>
      </c>
      <c r="Q37" s="22">
        <v>0</v>
      </c>
      <c r="R37" s="29">
        <f t="shared" si="0"/>
        <v>11.208733314826894</v>
      </c>
      <c r="S37" s="29">
        <f t="shared" si="1"/>
        <v>13.591713993483369</v>
      </c>
      <c r="T37" s="29">
        <f t="shared" si="2"/>
        <v>9.3669166790182796</v>
      </c>
    </row>
    <row r="38" spans="1:20">
      <c r="A38" s="16" t="s">
        <v>31</v>
      </c>
      <c r="B38" s="17">
        <v>45717</v>
      </c>
      <c r="C38" s="16" t="s">
        <v>21</v>
      </c>
      <c r="D38" s="16" t="s">
        <v>17</v>
      </c>
      <c r="E38" s="18">
        <v>74413.88</v>
      </c>
      <c r="F38" s="18">
        <v>9449</v>
      </c>
      <c r="G38" s="19">
        <v>3.9E-2</v>
      </c>
      <c r="H38" s="18">
        <v>23</v>
      </c>
      <c r="I38" s="18">
        <v>92.1</v>
      </c>
      <c r="J38" s="28">
        <v>2.12</v>
      </c>
      <c r="K38" s="18">
        <v>0</v>
      </c>
      <c r="L38" s="18">
        <v>0</v>
      </c>
      <c r="M38" s="18">
        <v>3.5</v>
      </c>
      <c r="N38" s="18">
        <v>0</v>
      </c>
      <c r="O38" s="18">
        <v>798952.17</v>
      </c>
      <c r="P38" s="18">
        <v>161499.04</v>
      </c>
      <c r="Q38" s="18">
        <v>0</v>
      </c>
      <c r="R38" s="28">
        <f t="shared" si="0"/>
        <v>11.217397762560976</v>
      </c>
      <c r="S38" s="28">
        <f t="shared" si="1"/>
        <v>13.591056360628681</v>
      </c>
      <c r="T38" s="28">
        <f t="shared" si="2"/>
        <v>9.1536641947826265</v>
      </c>
    </row>
    <row r="39" spans="1:20">
      <c r="A39" s="20" t="s">
        <v>31</v>
      </c>
      <c r="B39" s="21">
        <v>45748</v>
      </c>
      <c r="C39" s="20" t="s">
        <v>21</v>
      </c>
      <c r="D39" s="20" t="s">
        <v>17</v>
      </c>
      <c r="E39" s="22">
        <v>52483.77</v>
      </c>
      <c r="F39" s="22">
        <v>10453</v>
      </c>
      <c r="G39" s="23">
        <v>0.247</v>
      </c>
      <c r="H39" s="22">
        <v>25</v>
      </c>
      <c r="I39" s="22">
        <v>99</v>
      </c>
      <c r="J39" s="29">
        <v>6.31</v>
      </c>
      <c r="K39" s="22">
        <v>0</v>
      </c>
      <c r="L39" s="22">
        <v>0</v>
      </c>
      <c r="M39" s="22">
        <v>3.6</v>
      </c>
      <c r="N39" s="22">
        <v>0</v>
      </c>
      <c r="O39" s="22">
        <v>800979.78</v>
      </c>
      <c r="P39" s="22">
        <v>149242.26999999999</v>
      </c>
      <c r="Q39" s="22">
        <v>0</v>
      </c>
      <c r="R39" s="29">
        <f t="shared" si="0"/>
        <v>10.868259257928068</v>
      </c>
      <c r="S39" s="29">
        <f t="shared" si="1"/>
        <v>13.593590982286182</v>
      </c>
      <c r="T39" s="29">
        <f t="shared" si="2"/>
        <v>9.2546442975327068</v>
      </c>
    </row>
    <row r="40" spans="1:20">
      <c r="A40" s="16" t="s">
        <v>32</v>
      </c>
      <c r="B40" s="17">
        <v>45658</v>
      </c>
      <c r="C40" s="16" t="s">
        <v>21</v>
      </c>
      <c r="D40" s="16" t="s">
        <v>29</v>
      </c>
      <c r="E40" s="18">
        <v>75269.87</v>
      </c>
      <c r="F40" s="18">
        <v>8838</v>
      </c>
      <c r="G40" s="19">
        <v>9.1999999999999998E-2</v>
      </c>
      <c r="H40" s="18">
        <v>21</v>
      </c>
      <c r="I40" s="18">
        <v>83.1</v>
      </c>
      <c r="J40" s="28">
        <v>9.56</v>
      </c>
      <c r="K40" s="18">
        <v>0</v>
      </c>
      <c r="L40" s="18">
        <v>1</v>
      </c>
      <c r="M40" s="18">
        <v>4.2</v>
      </c>
      <c r="N40" s="18">
        <v>0</v>
      </c>
      <c r="O40" s="18">
        <v>820593.93</v>
      </c>
      <c r="P40" s="18">
        <v>115860.06</v>
      </c>
      <c r="Q40" s="18">
        <v>0</v>
      </c>
      <c r="R40" s="28">
        <f t="shared" si="0"/>
        <v>11.228835200911369</v>
      </c>
      <c r="S40" s="28">
        <f t="shared" si="1"/>
        <v>13.617783661936299</v>
      </c>
      <c r="T40" s="28">
        <f t="shared" si="2"/>
        <v>9.0868158856906849</v>
      </c>
    </row>
    <row r="41" spans="1:20">
      <c r="A41" s="20" t="s">
        <v>32</v>
      </c>
      <c r="B41" s="21">
        <v>45689</v>
      </c>
      <c r="C41" s="20" t="s">
        <v>21</v>
      </c>
      <c r="D41" s="20" t="s">
        <v>29</v>
      </c>
      <c r="E41" s="22">
        <v>61245.41</v>
      </c>
      <c r="F41" s="22">
        <v>8156</v>
      </c>
      <c r="G41" s="23">
        <v>0.156</v>
      </c>
      <c r="H41" s="22">
        <v>19</v>
      </c>
      <c r="I41" s="22">
        <v>92.9</v>
      </c>
      <c r="J41" s="29">
        <v>9.0500000000000007</v>
      </c>
      <c r="K41" s="22">
        <v>0</v>
      </c>
      <c r="L41" s="22">
        <v>0</v>
      </c>
      <c r="M41" s="22">
        <v>3.8</v>
      </c>
      <c r="N41" s="22">
        <v>0</v>
      </c>
      <c r="O41" s="22">
        <v>718330.53</v>
      </c>
      <c r="P41" s="22">
        <v>93247.9</v>
      </c>
      <c r="Q41" s="22">
        <v>0</v>
      </c>
      <c r="R41" s="29">
        <f t="shared" si="0"/>
        <v>11.022644186823413</v>
      </c>
      <c r="S41" s="29">
        <f t="shared" si="1"/>
        <v>13.484685090292057</v>
      </c>
      <c r="T41" s="29">
        <f t="shared" si="2"/>
        <v>9.0065091316943455</v>
      </c>
    </row>
    <row r="42" spans="1:20">
      <c r="A42" s="16" t="s">
        <v>32</v>
      </c>
      <c r="B42" s="17">
        <v>45717</v>
      </c>
      <c r="C42" s="16" t="s">
        <v>21</v>
      </c>
      <c r="D42" s="16" t="s">
        <v>29</v>
      </c>
      <c r="E42" s="18">
        <v>93381.26</v>
      </c>
      <c r="F42" s="18">
        <v>7562</v>
      </c>
      <c r="G42" s="19">
        <v>0.19800000000000001</v>
      </c>
      <c r="H42" s="18">
        <v>19</v>
      </c>
      <c r="I42" s="18">
        <v>82.9</v>
      </c>
      <c r="J42" s="28">
        <v>5.05</v>
      </c>
      <c r="K42" s="18">
        <v>0</v>
      </c>
      <c r="L42" s="18">
        <v>0</v>
      </c>
      <c r="M42" s="18">
        <v>4</v>
      </c>
      <c r="N42" s="18">
        <v>0</v>
      </c>
      <c r="O42" s="18">
        <v>736633.4</v>
      </c>
      <c r="P42" s="18">
        <v>115654.66</v>
      </c>
      <c r="Q42" s="18">
        <v>0</v>
      </c>
      <c r="R42" s="28">
        <f t="shared" si="0"/>
        <v>11.444445961687268</v>
      </c>
      <c r="S42" s="28">
        <f t="shared" si="1"/>
        <v>13.509845625435116</v>
      </c>
      <c r="T42" s="28">
        <f t="shared" si="2"/>
        <v>8.9308909844508779</v>
      </c>
    </row>
    <row r="43" spans="1:20">
      <c r="A43" s="20" t="s">
        <v>32</v>
      </c>
      <c r="B43" s="21">
        <v>45748</v>
      </c>
      <c r="C43" s="20" t="s">
        <v>21</v>
      </c>
      <c r="D43" s="20" t="s">
        <v>29</v>
      </c>
      <c r="E43" s="22">
        <v>65012.19</v>
      </c>
      <c r="F43" s="22">
        <v>9598</v>
      </c>
      <c r="G43" s="23">
        <v>8.5000000000000006E-2</v>
      </c>
      <c r="H43" s="22">
        <v>24</v>
      </c>
      <c r="I43" s="22">
        <v>98.3</v>
      </c>
      <c r="J43" s="29">
        <v>0.89</v>
      </c>
      <c r="K43" s="22">
        <v>0</v>
      </c>
      <c r="L43" s="22">
        <v>0</v>
      </c>
      <c r="M43" s="22">
        <v>3.8</v>
      </c>
      <c r="N43" s="22">
        <v>0</v>
      </c>
      <c r="O43" s="22">
        <v>828623.85</v>
      </c>
      <c r="P43" s="22">
        <v>167320.51999999999</v>
      </c>
      <c r="Q43" s="22">
        <v>0</v>
      </c>
      <c r="R43" s="29">
        <f t="shared" si="0"/>
        <v>11.082330069756173</v>
      </c>
      <c r="S43" s="29">
        <f t="shared" si="1"/>
        <v>13.627521591701425</v>
      </c>
      <c r="T43" s="29">
        <f t="shared" si="2"/>
        <v>9.1693100224181912</v>
      </c>
    </row>
    <row r="44" spans="1:20">
      <c r="A44" s="16" t="s">
        <v>33</v>
      </c>
      <c r="B44" s="17">
        <v>45658</v>
      </c>
      <c r="C44" s="16" t="s">
        <v>16</v>
      </c>
      <c r="D44" s="16" t="s">
        <v>29</v>
      </c>
      <c r="E44" s="18">
        <v>40462.94</v>
      </c>
      <c r="F44" s="18">
        <v>3660</v>
      </c>
      <c r="G44" s="19">
        <v>0.218</v>
      </c>
      <c r="H44" s="18">
        <v>11</v>
      </c>
      <c r="I44" s="18">
        <v>95.2</v>
      </c>
      <c r="J44" s="28">
        <v>5.57</v>
      </c>
      <c r="K44" s="18">
        <v>0</v>
      </c>
      <c r="L44" s="18">
        <v>0</v>
      </c>
      <c r="M44" s="18">
        <v>4.4000000000000004</v>
      </c>
      <c r="N44" s="18">
        <v>0</v>
      </c>
      <c r="O44" s="18">
        <v>592195.85</v>
      </c>
      <c r="P44" s="18">
        <v>92291.56</v>
      </c>
      <c r="Q44" s="18">
        <v>0</v>
      </c>
      <c r="R44" s="28">
        <f t="shared" si="0"/>
        <v>10.608141772441671</v>
      </c>
      <c r="S44" s="28">
        <f t="shared" si="1"/>
        <v>13.291592686857427</v>
      </c>
      <c r="T44" s="28">
        <f t="shared" si="2"/>
        <v>8.2052184263954118</v>
      </c>
    </row>
    <row r="45" spans="1:20">
      <c r="A45" s="20" t="s">
        <v>33</v>
      </c>
      <c r="B45" s="21">
        <v>45689</v>
      </c>
      <c r="C45" s="20" t="s">
        <v>16</v>
      </c>
      <c r="D45" s="20" t="s">
        <v>29</v>
      </c>
      <c r="E45" s="22">
        <v>46123.88</v>
      </c>
      <c r="F45" s="22">
        <v>3227</v>
      </c>
      <c r="G45" s="23">
        <v>0.14299999999999999</v>
      </c>
      <c r="H45" s="22">
        <v>10</v>
      </c>
      <c r="I45" s="22">
        <v>75.400000000000006</v>
      </c>
      <c r="J45" s="29">
        <v>1.06</v>
      </c>
      <c r="K45" s="22">
        <v>0</v>
      </c>
      <c r="L45" s="22">
        <v>0</v>
      </c>
      <c r="M45" s="22">
        <v>4.4000000000000004</v>
      </c>
      <c r="N45" s="22">
        <v>0</v>
      </c>
      <c r="O45" s="22">
        <v>532644.46</v>
      </c>
      <c r="P45" s="22">
        <v>60681.32</v>
      </c>
      <c r="Q45" s="22">
        <v>0</v>
      </c>
      <c r="R45" s="29">
        <f t="shared" si="0"/>
        <v>10.739086099205201</v>
      </c>
      <c r="S45" s="29">
        <f t="shared" si="1"/>
        <v>13.185609426159196</v>
      </c>
      <c r="T45" s="29">
        <f t="shared" si="2"/>
        <v>8.0793081920519612</v>
      </c>
    </row>
    <row r="46" spans="1:20">
      <c r="A46" s="16" t="s">
        <v>33</v>
      </c>
      <c r="B46" s="17">
        <v>45717</v>
      </c>
      <c r="C46" s="16" t="s">
        <v>16</v>
      </c>
      <c r="D46" s="16" t="s">
        <v>29</v>
      </c>
      <c r="E46" s="18">
        <v>68077.539999999994</v>
      </c>
      <c r="F46" s="18">
        <v>3360</v>
      </c>
      <c r="G46" s="19">
        <v>0.128</v>
      </c>
      <c r="H46" s="18">
        <v>14</v>
      </c>
      <c r="I46" s="18">
        <v>88.2</v>
      </c>
      <c r="J46" s="28">
        <v>1.24</v>
      </c>
      <c r="K46" s="18">
        <v>0</v>
      </c>
      <c r="L46" s="18">
        <v>1</v>
      </c>
      <c r="M46" s="18">
        <v>4</v>
      </c>
      <c r="N46" s="18">
        <v>0</v>
      </c>
      <c r="O46" s="18">
        <v>657429.18000000005</v>
      </c>
      <c r="P46" s="18">
        <v>88919.74</v>
      </c>
      <c r="Q46" s="18">
        <v>0</v>
      </c>
      <c r="R46" s="28">
        <f t="shared" si="0"/>
        <v>11.128402628634362</v>
      </c>
      <c r="S46" s="28">
        <f t="shared" si="1"/>
        <v>13.396092326206192</v>
      </c>
      <c r="T46" s="28">
        <f t="shared" si="2"/>
        <v>8.1196962529572492</v>
      </c>
    </row>
    <row r="47" spans="1:20">
      <c r="A47" s="20" t="s">
        <v>33</v>
      </c>
      <c r="B47" s="21">
        <v>45748</v>
      </c>
      <c r="C47" s="20" t="s">
        <v>16</v>
      </c>
      <c r="D47" s="20" t="s">
        <v>29</v>
      </c>
      <c r="E47" s="22">
        <v>64882.14</v>
      </c>
      <c r="F47" s="22">
        <v>3642</v>
      </c>
      <c r="G47" s="23">
        <v>1.9E-2</v>
      </c>
      <c r="H47" s="22">
        <v>13</v>
      </c>
      <c r="I47" s="22">
        <v>87.8</v>
      </c>
      <c r="J47" s="29">
        <v>4.5199999999999996</v>
      </c>
      <c r="K47" s="22">
        <v>0</v>
      </c>
      <c r="L47" s="22">
        <v>0</v>
      </c>
      <c r="M47" s="22">
        <v>4.2</v>
      </c>
      <c r="N47" s="22">
        <v>0</v>
      </c>
      <c r="O47" s="22">
        <v>605178</v>
      </c>
      <c r="P47" s="22">
        <v>106958.74</v>
      </c>
      <c r="Q47" s="22">
        <v>0</v>
      </c>
      <c r="R47" s="29">
        <f t="shared" si="0"/>
        <v>11.080327672215743</v>
      </c>
      <c r="S47" s="29">
        <f t="shared" si="1"/>
        <v>13.313277908616302</v>
      </c>
      <c r="T47" s="29">
        <f t="shared" si="2"/>
        <v>8.2002882602875538</v>
      </c>
    </row>
    <row r="48" spans="1:20">
      <c r="A48" s="16" t="s">
        <v>34</v>
      </c>
      <c r="B48" s="17">
        <v>45658</v>
      </c>
      <c r="C48" s="16" t="s">
        <v>28</v>
      </c>
      <c r="D48" s="16" t="s">
        <v>17</v>
      </c>
      <c r="E48" s="18">
        <v>138855.51</v>
      </c>
      <c r="F48" s="18">
        <v>5145</v>
      </c>
      <c r="G48" s="19">
        <v>0.06</v>
      </c>
      <c r="H48" s="18">
        <v>17</v>
      </c>
      <c r="I48" s="18">
        <v>88.2</v>
      </c>
      <c r="J48" s="28">
        <v>9.58</v>
      </c>
      <c r="K48" s="18">
        <v>0</v>
      </c>
      <c r="L48" s="18">
        <v>0</v>
      </c>
      <c r="M48" s="18">
        <v>3.2</v>
      </c>
      <c r="N48" s="18">
        <v>0</v>
      </c>
      <c r="O48" s="18">
        <v>595467.6</v>
      </c>
      <c r="P48" s="18">
        <v>104276.46</v>
      </c>
      <c r="Q48" s="30">
        <v>1</v>
      </c>
      <c r="R48" s="28">
        <f t="shared" si="0"/>
        <v>11.841189175058863</v>
      </c>
      <c r="S48" s="28">
        <f t="shared" si="1"/>
        <v>13.297102258236865</v>
      </c>
      <c r="T48" s="28">
        <f t="shared" si="2"/>
        <v>8.5457806482681491</v>
      </c>
    </row>
    <row r="49" spans="1:20">
      <c r="A49" s="20" t="s">
        <v>34</v>
      </c>
      <c r="B49" s="21">
        <v>45689</v>
      </c>
      <c r="C49" s="20" t="s">
        <v>28</v>
      </c>
      <c r="D49" s="20" t="s">
        <v>17</v>
      </c>
      <c r="E49" s="22">
        <v>63630.21</v>
      </c>
      <c r="F49" s="22">
        <v>4460</v>
      </c>
      <c r="G49" s="23">
        <v>0.23499999999999999</v>
      </c>
      <c r="H49" s="22">
        <v>14</v>
      </c>
      <c r="I49" s="22">
        <v>98.6</v>
      </c>
      <c r="J49" s="29">
        <v>5.52</v>
      </c>
      <c r="K49" s="22">
        <v>0</v>
      </c>
      <c r="L49" s="22">
        <v>0</v>
      </c>
      <c r="M49" s="22">
        <v>3.5</v>
      </c>
      <c r="N49" s="22">
        <v>0</v>
      </c>
      <c r="O49" s="22">
        <v>599603.4</v>
      </c>
      <c r="P49" s="22">
        <v>112685.12</v>
      </c>
      <c r="Q49" s="22">
        <v>0</v>
      </c>
      <c r="R49" s="29">
        <f t="shared" si="0"/>
        <v>11.060843636551425</v>
      </c>
      <c r="S49" s="29">
        <f t="shared" si="1"/>
        <v>13.304023715641467</v>
      </c>
      <c r="T49" s="29">
        <f t="shared" si="2"/>
        <v>8.4029040450141093</v>
      </c>
    </row>
    <row r="50" spans="1:20">
      <c r="A50" s="16" t="s">
        <v>34</v>
      </c>
      <c r="B50" s="17">
        <v>45717</v>
      </c>
      <c r="C50" s="16" t="s">
        <v>28</v>
      </c>
      <c r="D50" s="16" t="s">
        <v>17</v>
      </c>
      <c r="E50" s="18">
        <v>50043.65</v>
      </c>
      <c r="F50" s="18">
        <v>3804</v>
      </c>
      <c r="G50" s="19">
        <v>0.113</v>
      </c>
      <c r="H50" s="18">
        <v>11</v>
      </c>
      <c r="I50" s="18">
        <v>90.9</v>
      </c>
      <c r="J50" s="28">
        <v>2.7</v>
      </c>
      <c r="K50" s="18">
        <v>0</v>
      </c>
      <c r="L50" s="18">
        <v>1</v>
      </c>
      <c r="M50" s="18">
        <v>3.2</v>
      </c>
      <c r="N50" s="18">
        <v>0</v>
      </c>
      <c r="O50" s="18">
        <v>614800.09</v>
      </c>
      <c r="P50" s="18">
        <v>100044.2</v>
      </c>
      <c r="Q50" s="18">
        <v>0</v>
      </c>
      <c r="R50" s="28">
        <f t="shared" si="0"/>
        <v>10.820650903567417</v>
      </c>
      <c r="S50" s="28">
        <f t="shared" si="1"/>
        <v>13.329052437035637</v>
      </c>
      <c r="T50" s="28">
        <f t="shared" si="2"/>
        <v>8.2438084236652802</v>
      </c>
    </row>
    <row r="51" spans="1:20">
      <c r="A51" s="20" t="s">
        <v>34</v>
      </c>
      <c r="B51" s="21">
        <v>45748</v>
      </c>
      <c r="C51" s="20" t="s">
        <v>28</v>
      </c>
      <c r="D51" s="20" t="s">
        <v>17</v>
      </c>
      <c r="E51" s="22">
        <v>42093.84</v>
      </c>
      <c r="F51" s="22">
        <v>4074</v>
      </c>
      <c r="G51" s="23">
        <v>0.155</v>
      </c>
      <c r="H51" s="22">
        <v>15</v>
      </c>
      <c r="I51" s="22">
        <v>88</v>
      </c>
      <c r="J51" s="29">
        <v>9.64</v>
      </c>
      <c r="K51" s="22">
        <v>0</v>
      </c>
      <c r="L51" s="22">
        <v>0</v>
      </c>
      <c r="M51" s="22">
        <v>3.3</v>
      </c>
      <c r="N51" s="22">
        <v>0</v>
      </c>
      <c r="O51" s="22">
        <v>585365.73</v>
      </c>
      <c r="P51" s="22">
        <v>81011.520000000004</v>
      </c>
      <c r="Q51" s="22">
        <v>0</v>
      </c>
      <c r="R51" s="29">
        <f t="shared" si="0"/>
        <v>10.647656690675122</v>
      </c>
      <c r="S51" s="29">
        <f t="shared" si="1"/>
        <v>13.27999211035789</v>
      </c>
      <c r="T51" s="29">
        <f t="shared" si="2"/>
        <v>8.3123805967867508</v>
      </c>
    </row>
    <row r="52" spans="1:20">
      <c r="A52" s="16" t="s">
        <v>35</v>
      </c>
      <c r="B52" s="17">
        <v>45658</v>
      </c>
      <c r="C52" s="16" t="s">
        <v>21</v>
      </c>
      <c r="D52" s="16" t="s">
        <v>29</v>
      </c>
      <c r="E52" s="18">
        <v>46624.05</v>
      </c>
      <c r="F52" s="18">
        <v>5104</v>
      </c>
      <c r="G52" s="19">
        <v>0.109</v>
      </c>
      <c r="H52" s="18">
        <v>11</v>
      </c>
      <c r="I52" s="18">
        <v>97.3</v>
      </c>
      <c r="J52" s="28">
        <v>3.49</v>
      </c>
      <c r="K52" s="18">
        <v>0</v>
      </c>
      <c r="L52" s="18">
        <v>1</v>
      </c>
      <c r="M52" s="18">
        <v>4.7</v>
      </c>
      <c r="N52" s="18">
        <v>0</v>
      </c>
      <c r="O52" s="18">
        <v>622811.74</v>
      </c>
      <c r="P52" s="18">
        <v>109978.35</v>
      </c>
      <c r="Q52" s="18">
        <v>0</v>
      </c>
      <c r="R52" s="28">
        <f t="shared" si="0"/>
        <v>10.749871781403415</v>
      </c>
      <c r="S52" s="28">
        <f t="shared" si="1"/>
        <v>13.341999569117558</v>
      </c>
      <c r="T52" s="28">
        <f t="shared" si="2"/>
        <v>8.5377798250246251</v>
      </c>
    </row>
    <row r="53" spans="1:20">
      <c r="A53" s="20" t="s">
        <v>35</v>
      </c>
      <c r="B53" s="21">
        <v>45689</v>
      </c>
      <c r="C53" s="20" t="s">
        <v>21</v>
      </c>
      <c r="D53" s="20" t="s">
        <v>29</v>
      </c>
      <c r="E53" s="22">
        <v>49710.29</v>
      </c>
      <c r="F53" s="22">
        <v>5559</v>
      </c>
      <c r="G53" s="23">
        <v>0.218</v>
      </c>
      <c r="H53" s="22">
        <v>14</v>
      </c>
      <c r="I53" s="22">
        <v>71</v>
      </c>
      <c r="J53" s="29">
        <v>9.11</v>
      </c>
      <c r="K53" s="22">
        <v>0</v>
      </c>
      <c r="L53" s="22">
        <v>0</v>
      </c>
      <c r="M53" s="22">
        <v>4.5999999999999996</v>
      </c>
      <c r="N53" s="22">
        <v>0</v>
      </c>
      <c r="O53" s="22">
        <v>603297.56999999995</v>
      </c>
      <c r="P53" s="22">
        <v>60592.26</v>
      </c>
      <c r="Q53" s="22">
        <v>0</v>
      </c>
      <c r="R53" s="29">
        <f t="shared" si="0"/>
        <v>10.813967232907952</v>
      </c>
      <c r="S53" s="29">
        <f t="shared" si="1"/>
        <v>13.3101658365739</v>
      </c>
      <c r="T53" s="29">
        <f t="shared" si="2"/>
        <v>8.6231735149534696</v>
      </c>
    </row>
    <row r="54" spans="1:20">
      <c r="A54" s="16" t="s">
        <v>35</v>
      </c>
      <c r="B54" s="17">
        <v>45717</v>
      </c>
      <c r="C54" s="16" t="s">
        <v>21</v>
      </c>
      <c r="D54" s="16" t="s">
        <v>29</v>
      </c>
      <c r="E54" s="18">
        <v>48287.85</v>
      </c>
      <c r="F54" s="18">
        <v>5150</v>
      </c>
      <c r="G54" s="19">
        <v>8.0000000000000002E-3</v>
      </c>
      <c r="H54" s="18">
        <v>12</v>
      </c>
      <c r="I54" s="18">
        <v>80.400000000000006</v>
      </c>
      <c r="J54" s="28">
        <v>7.4</v>
      </c>
      <c r="K54" s="18">
        <v>0</v>
      </c>
      <c r="L54" s="18">
        <v>0</v>
      </c>
      <c r="M54" s="18">
        <v>4.5</v>
      </c>
      <c r="N54" s="18">
        <v>0</v>
      </c>
      <c r="O54" s="18">
        <v>625672.86</v>
      </c>
      <c r="P54" s="18">
        <v>118020.12</v>
      </c>
      <c r="Q54" s="18">
        <v>0</v>
      </c>
      <c r="R54" s="28">
        <f t="shared" si="0"/>
        <v>10.784935255200921</v>
      </c>
      <c r="S54" s="28">
        <f t="shared" si="1"/>
        <v>13.346582925626183</v>
      </c>
      <c r="T54" s="28">
        <f t="shared" si="2"/>
        <v>8.5467519936577823</v>
      </c>
    </row>
    <row r="55" spans="1:20">
      <c r="A55" s="20" t="s">
        <v>35</v>
      </c>
      <c r="B55" s="21">
        <v>45748</v>
      </c>
      <c r="C55" s="20" t="s">
        <v>21</v>
      </c>
      <c r="D55" s="20" t="s">
        <v>29</v>
      </c>
      <c r="E55" s="22">
        <v>65312.49</v>
      </c>
      <c r="F55" s="22">
        <v>7189</v>
      </c>
      <c r="G55" s="23">
        <v>0.05</v>
      </c>
      <c r="H55" s="22">
        <v>19</v>
      </c>
      <c r="I55" s="22">
        <v>93.7</v>
      </c>
      <c r="J55" s="29">
        <v>7.16</v>
      </c>
      <c r="K55" s="22">
        <v>0</v>
      </c>
      <c r="L55" s="22">
        <v>0</v>
      </c>
      <c r="M55" s="22">
        <v>4.5999999999999996</v>
      </c>
      <c r="N55" s="22">
        <v>0</v>
      </c>
      <c r="O55" s="22">
        <v>773815.14</v>
      </c>
      <c r="P55" s="22">
        <v>133948.39000000001</v>
      </c>
      <c r="Q55" s="22">
        <v>0</v>
      </c>
      <c r="R55" s="29">
        <f t="shared" si="0"/>
        <v>11.086938568031208</v>
      </c>
      <c r="S55" s="29">
        <f t="shared" si="1"/>
        <v>13.559088286836413</v>
      </c>
      <c r="T55" s="29">
        <f t="shared" si="2"/>
        <v>8.8803073589838721</v>
      </c>
    </row>
    <row r="56" spans="1:20">
      <c r="A56" s="16" t="s">
        <v>36</v>
      </c>
      <c r="B56" s="17">
        <v>45658</v>
      </c>
      <c r="C56" s="16" t="s">
        <v>28</v>
      </c>
      <c r="D56" s="16" t="s">
        <v>19</v>
      </c>
      <c r="E56" s="18">
        <v>53015.46</v>
      </c>
      <c r="F56" s="18">
        <v>3279</v>
      </c>
      <c r="G56" s="19">
        <v>8.6999999999999994E-2</v>
      </c>
      <c r="H56" s="18">
        <v>9</v>
      </c>
      <c r="I56" s="18">
        <v>84.3</v>
      </c>
      <c r="J56" s="28">
        <v>22.02</v>
      </c>
      <c r="K56" s="18">
        <v>0</v>
      </c>
      <c r="L56" s="18">
        <v>0</v>
      </c>
      <c r="M56" s="18">
        <v>3.9</v>
      </c>
      <c r="N56" s="18">
        <v>0</v>
      </c>
      <c r="O56" s="18">
        <v>463534.25</v>
      </c>
      <c r="P56" s="18">
        <v>81834.539999999994</v>
      </c>
      <c r="Q56" s="18">
        <v>0</v>
      </c>
      <c r="R56" s="28">
        <f t="shared" si="0"/>
        <v>10.878338848111843</v>
      </c>
      <c r="S56" s="28">
        <f t="shared" si="1"/>
        <v>13.046635555540631</v>
      </c>
      <c r="T56" s="28">
        <f t="shared" si="2"/>
        <v>8.0952937768446489</v>
      </c>
    </row>
    <row r="57" spans="1:20">
      <c r="A57" s="20" t="s">
        <v>36</v>
      </c>
      <c r="B57" s="21">
        <v>45689</v>
      </c>
      <c r="C57" s="20" t="s">
        <v>28</v>
      </c>
      <c r="D57" s="20" t="s">
        <v>19</v>
      </c>
      <c r="E57" s="22">
        <v>99874.01</v>
      </c>
      <c r="F57" s="22">
        <v>5887</v>
      </c>
      <c r="G57" s="23">
        <v>0.26200000000000001</v>
      </c>
      <c r="H57" s="22">
        <v>14</v>
      </c>
      <c r="I57" s="22">
        <v>88.7</v>
      </c>
      <c r="J57" s="29">
        <v>6.18</v>
      </c>
      <c r="K57" s="22">
        <v>0</v>
      </c>
      <c r="L57" s="22">
        <v>0</v>
      </c>
      <c r="M57" s="22">
        <v>4.7</v>
      </c>
      <c r="N57" s="22">
        <v>0</v>
      </c>
      <c r="O57" s="22">
        <v>746677.75</v>
      </c>
      <c r="P57" s="22">
        <v>122437.84</v>
      </c>
      <c r="Q57" s="22">
        <v>0</v>
      </c>
      <c r="R57" s="29">
        <f t="shared" si="0"/>
        <v>11.511664770628959</v>
      </c>
      <c r="S57" s="29">
        <f t="shared" si="1"/>
        <v>13.523388978802945</v>
      </c>
      <c r="T57" s="29">
        <f t="shared" si="2"/>
        <v>8.6805018090282609</v>
      </c>
    </row>
    <row r="58" spans="1:20">
      <c r="A58" s="16" t="s">
        <v>36</v>
      </c>
      <c r="B58" s="17">
        <v>45717</v>
      </c>
      <c r="C58" s="16" t="s">
        <v>28</v>
      </c>
      <c r="D58" s="16" t="s">
        <v>19</v>
      </c>
      <c r="E58" s="18">
        <v>81195.5</v>
      </c>
      <c r="F58" s="18">
        <v>5516</v>
      </c>
      <c r="G58" s="19">
        <v>0.106</v>
      </c>
      <c r="H58" s="18">
        <v>14</v>
      </c>
      <c r="I58" s="18">
        <v>88</v>
      </c>
      <c r="J58" s="28">
        <v>1.76</v>
      </c>
      <c r="K58" s="18">
        <v>0</v>
      </c>
      <c r="L58" s="18">
        <v>0</v>
      </c>
      <c r="M58" s="18">
        <v>4.3</v>
      </c>
      <c r="N58" s="18">
        <v>0</v>
      </c>
      <c r="O58" s="18">
        <v>720852.5</v>
      </c>
      <c r="P58" s="18">
        <v>98565.62</v>
      </c>
      <c r="Q58" s="18">
        <v>0</v>
      </c>
      <c r="R58" s="28">
        <f t="shared" si="0"/>
        <v>11.304615105894884</v>
      </c>
      <c r="S58" s="28">
        <f t="shared" si="1"/>
        <v>13.48818981836194</v>
      </c>
      <c r="T58" s="28">
        <f t="shared" si="2"/>
        <v>8.6154082389131919</v>
      </c>
    </row>
    <row r="59" spans="1:20">
      <c r="A59" s="20" t="s">
        <v>36</v>
      </c>
      <c r="B59" s="21">
        <v>45748</v>
      </c>
      <c r="C59" s="20" t="s">
        <v>28</v>
      </c>
      <c r="D59" s="20" t="s">
        <v>19</v>
      </c>
      <c r="E59" s="22">
        <v>27808.6</v>
      </c>
      <c r="F59" s="22">
        <v>2863</v>
      </c>
      <c r="G59" s="23">
        <v>0.08</v>
      </c>
      <c r="H59" s="22">
        <v>13</v>
      </c>
      <c r="I59" s="22">
        <v>89.3</v>
      </c>
      <c r="J59" s="29">
        <v>0.47</v>
      </c>
      <c r="K59" s="22">
        <v>0</v>
      </c>
      <c r="L59" s="22">
        <v>0</v>
      </c>
      <c r="M59" s="22">
        <v>4.0999999999999996</v>
      </c>
      <c r="N59" s="22">
        <v>0</v>
      </c>
      <c r="O59" s="22">
        <v>487464.91</v>
      </c>
      <c r="P59" s="22">
        <v>64562.26</v>
      </c>
      <c r="Q59" s="22">
        <v>0</v>
      </c>
      <c r="R59" s="29">
        <f t="shared" si="0"/>
        <v>10.233100604357089</v>
      </c>
      <c r="S59" s="29">
        <f t="shared" si="1"/>
        <v>13.096973587342212</v>
      </c>
      <c r="T59" s="29">
        <f t="shared" si="2"/>
        <v>7.9596253050981147</v>
      </c>
    </row>
    <row r="60" spans="1:20">
      <c r="A60" s="16" t="s">
        <v>37</v>
      </c>
      <c r="B60" s="17">
        <v>45658</v>
      </c>
      <c r="C60" s="16" t="s">
        <v>16</v>
      </c>
      <c r="D60" s="16" t="s">
        <v>22</v>
      </c>
      <c r="E60" s="18">
        <v>19365.060000000001</v>
      </c>
      <c r="F60" s="18">
        <v>2378</v>
      </c>
      <c r="G60" s="19">
        <v>0</v>
      </c>
      <c r="H60" s="18">
        <v>12</v>
      </c>
      <c r="I60" s="18">
        <v>94.8</v>
      </c>
      <c r="J60" s="28">
        <v>0.2</v>
      </c>
      <c r="K60" s="18">
        <v>0</v>
      </c>
      <c r="L60" s="18">
        <v>0</v>
      </c>
      <c r="M60" s="18">
        <v>3.5</v>
      </c>
      <c r="N60" s="18">
        <v>0</v>
      </c>
      <c r="O60" s="18">
        <v>518049.26</v>
      </c>
      <c r="P60" s="18">
        <v>108592.49</v>
      </c>
      <c r="Q60" s="18">
        <v>0</v>
      </c>
      <c r="R60" s="28">
        <f t="shared" si="0"/>
        <v>9.8712256903174058</v>
      </c>
      <c r="S60" s="28">
        <f t="shared" si="1"/>
        <v>13.157825613245329</v>
      </c>
      <c r="T60" s="28">
        <f t="shared" si="2"/>
        <v>7.774015077250727</v>
      </c>
    </row>
    <row r="61" spans="1:20">
      <c r="A61" s="20" t="s">
        <v>37</v>
      </c>
      <c r="B61" s="21">
        <v>45689</v>
      </c>
      <c r="C61" s="20" t="s">
        <v>16</v>
      </c>
      <c r="D61" s="20" t="s">
        <v>22</v>
      </c>
      <c r="E61" s="22">
        <v>59405.68</v>
      </c>
      <c r="F61" s="22">
        <v>2515</v>
      </c>
      <c r="G61" s="23">
        <v>3.9E-2</v>
      </c>
      <c r="H61" s="22">
        <v>12</v>
      </c>
      <c r="I61" s="22">
        <v>76</v>
      </c>
      <c r="J61" s="29">
        <v>5.1100000000000003</v>
      </c>
      <c r="K61" s="22">
        <v>0</v>
      </c>
      <c r="L61" s="22">
        <v>0</v>
      </c>
      <c r="M61" s="22">
        <v>3.7</v>
      </c>
      <c r="N61" s="22">
        <v>0</v>
      </c>
      <c r="O61" s="22">
        <v>500298.48</v>
      </c>
      <c r="P61" s="22">
        <v>73461.320000000007</v>
      </c>
      <c r="Q61" s="22">
        <v>0</v>
      </c>
      <c r="R61" s="29">
        <f t="shared" si="0"/>
        <v>10.992145123674781</v>
      </c>
      <c r="S61" s="29">
        <f t="shared" si="1"/>
        <v>13.122960159294587</v>
      </c>
      <c r="T61" s="29">
        <f t="shared" si="2"/>
        <v>7.8300280825338398</v>
      </c>
    </row>
    <row r="62" spans="1:20">
      <c r="A62" s="16" t="s">
        <v>37</v>
      </c>
      <c r="B62" s="17">
        <v>45717</v>
      </c>
      <c r="C62" s="16" t="s">
        <v>16</v>
      </c>
      <c r="D62" s="16" t="s">
        <v>22</v>
      </c>
      <c r="E62" s="18">
        <v>118910.48</v>
      </c>
      <c r="F62" s="18">
        <v>4022</v>
      </c>
      <c r="G62" s="19">
        <v>0.13700000000000001</v>
      </c>
      <c r="H62" s="18">
        <v>11</v>
      </c>
      <c r="I62" s="18">
        <v>87.1</v>
      </c>
      <c r="J62" s="28">
        <v>0.2</v>
      </c>
      <c r="K62" s="18">
        <v>0</v>
      </c>
      <c r="L62" s="18">
        <v>0</v>
      </c>
      <c r="M62" s="18">
        <v>3.1</v>
      </c>
      <c r="N62" s="18">
        <v>0</v>
      </c>
      <c r="O62" s="18">
        <v>617291.15</v>
      </c>
      <c r="P62" s="18">
        <v>117782</v>
      </c>
      <c r="Q62" s="30">
        <v>1</v>
      </c>
      <c r="R62" s="28">
        <f t="shared" si="0"/>
        <v>11.686126220089864</v>
      </c>
      <c r="S62" s="28">
        <f t="shared" si="1"/>
        <v>13.333096071651969</v>
      </c>
      <c r="T62" s="28">
        <f t="shared" si="2"/>
        <v>8.2995345703325967</v>
      </c>
    </row>
    <row r="63" spans="1:20">
      <c r="A63" s="20" t="s">
        <v>37</v>
      </c>
      <c r="B63" s="21">
        <v>45748</v>
      </c>
      <c r="C63" s="20" t="s">
        <v>16</v>
      </c>
      <c r="D63" s="20" t="s">
        <v>22</v>
      </c>
      <c r="E63" s="22">
        <v>52952.12</v>
      </c>
      <c r="F63" s="22">
        <v>4377</v>
      </c>
      <c r="G63" s="23">
        <v>9.1999999999999998E-2</v>
      </c>
      <c r="H63" s="22">
        <v>14</v>
      </c>
      <c r="I63" s="22">
        <v>88.6</v>
      </c>
      <c r="J63" s="29">
        <v>13.59</v>
      </c>
      <c r="K63" s="22">
        <v>0</v>
      </c>
      <c r="L63" s="22">
        <v>0</v>
      </c>
      <c r="M63" s="22">
        <v>3.1</v>
      </c>
      <c r="N63" s="22">
        <v>0</v>
      </c>
      <c r="O63" s="22">
        <v>553756.43000000005</v>
      </c>
      <c r="P63" s="22">
        <v>86166.77</v>
      </c>
      <c r="Q63" s="22">
        <v>0</v>
      </c>
      <c r="R63" s="29">
        <f t="shared" si="0"/>
        <v>10.877143387999546</v>
      </c>
      <c r="S63" s="29">
        <f t="shared" si="1"/>
        <v>13.224480212012216</v>
      </c>
      <c r="T63" s="29">
        <f t="shared" si="2"/>
        <v>8.3841188371908952</v>
      </c>
    </row>
    <row r="64" spans="1:20">
      <c r="A64" s="16" t="s">
        <v>38</v>
      </c>
      <c r="B64" s="17">
        <v>45658</v>
      </c>
      <c r="C64" s="16" t="s">
        <v>25</v>
      </c>
      <c r="D64" s="16" t="s">
        <v>19</v>
      </c>
      <c r="E64" s="18">
        <v>74907.98</v>
      </c>
      <c r="F64" s="18">
        <v>5306</v>
      </c>
      <c r="G64" s="19">
        <v>6.2E-2</v>
      </c>
      <c r="H64" s="18">
        <v>16</v>
      </c>
      <c r="I64" s="18">
        <v>95.6</v>
      </c>
      <c r="J64" s="28">
        <v>1.02</v>
      </c>
      <c r="K64" s="18">
        <v>0</v>
      </c>
      <c r="L64" s="18">
        <v>0</v>
      </c>
      <c r="M64" s="18">
        <v>3.7</v>
      </c>
      <c r="N64" s="18">
        <v>0</v>
      </c>
      <c r="O64" s="18">
        <v>749559.71</v>
      </c>
      <c r="P64" s="18">
        <v>144522.53</v>
      </c>
      <c r="Q64" s="18">
        <v>0</v>
      </c>
      <c r="R64" s="28">
        <f t="shared" si="0"/>
        <v>11.224015705886183</v>
      </c>
      <c r="S64" s="28">
        <f t="shared" si="1"/>
        <v>13.527241259795883</v>
      </c>
      <c r="T64" s="28">
        <f t="shared" si="2"/>
        <v>8.5765935346976843</v>
      </c>
    </row>
    <row r="65" spans="1:20">
      <c r="A65" s="20" t="s">
        <v>38</v>
      </c>
      <c r="B65" s="21">
        <v>45689</v>
      </c>
      <c r="C65" s="20" t="s">
        <v>25</v>
      </c>
      <c r="D65" s="20" t="s">
        <v>19</v>
      </c>
      <c r="E65" s="22">
        <v>37284.660000000003</v>
      </c>
      <c r="F65" s="22">
        <v>3928</v>
      </c>
      <c r="G65" s="23">
        <v>7.3999999999999996E-2</v>
      </c>
      <c r="H65" s="22">
        <v>12</v>
      </c>
      <c r="I65" s="22">
        <v>86.5</v>
      </c>
      <c r="J65" s="29">
        <v>1.64</v>
      </c>
      <c r="K65" s="22">
        <v>0</v>
      </c>
      <c r="L65" s="22">
        <v>0</v>
      </c>
      <c r="M65" s="22">
        <v>3.8</v>
      </c>
      <c r="N65" s="22">
        <v>0</v>
      </c>
      <c r="O65" s="22">
        <v>615966.48</v>
      </c>
      <c r="P65" s="22">
        <v>91509.38</v>
      </c>
      <c r="Q65" s="22">
        <v>0</v>
      </c>
      <c r="R65" s="29">
        <f t="shared" si="0"/>
        <v>10.526337260987679</v>
      </c>
      <c r="S65" s="29">
        <f t="shared" si="1"/>
        <v>13.330947825450659</v>
      </c>
      <c r="T65" s="29">
        <f t="shared" si="2"/>
        <v>8.2758856694743557</v>
      </c>
    </row>
    <row r="66" spans="1:20">
      <c r="A66" s="16" t="s">
        <v>38</v>
      </c>
      <c r="B66" s="17">
        <v>45717</v>
      </c>
      <c r="C66" s="16" t="s">
        <v>25</v>
      </c>
      <c r="D66" s="16" t="s">
        <v>19</v>
      </c>
      <c r="E66" s="18">
        <v>50343.19</v>
      </c>
      <c r="F66" s="18">
        <v>3845</v>
      </c>
      <c r="G66" s="19">
        <v>0.113</v>
      </c>
      <c r="H66" s="18">
        <v>9</v>
      </c>
      <c r="I66" s="18">
        <v>88.7</v>
      </c>
      <c r="J66" s="28">
        <v>5.15</v>
      </c>
      <c r="K66" s="18">
        <v>0</v>
      </c>
      <c r="L66" s="18">
        <v>0</v>
      </c>
      <c r="M66" s="18">
        <v>3.3</v>
      </c>
      <c r="N66" s="18">
        <v>0</v>
      </c>
      <c r="O66" s="18">
        <v>572011.19999999995</v>
      </c>
      <c r="P66" s="18">
        <v>101409.68</v>
      </c>
      <c r="Q66" s="18">
        <v>0</v>
      </c>
      <c r="R66" s="28">
        <f t="shared" si="0"/>
        <v>10.826618635771757</v>
      </c>
      <c r="S66" s="28">
        <f t="shared" si="1"/>
        <v>13.256913850589822</v>
      </c>
      <c r="T66" s="28">
        <f t="shared" si="2"/>
        <v>8.2545288819397449</v>
      </c>
    </row>
    <row r="67" spans="1:20">
      <c r="A67" s="20" t="s">
        <v>38</v>
      </c>
      <c r="B67" s="21">
        <v>45748</v>
      </c>
      <c r="C67" s="20" t="s">
        <v>25</v>
      </c>
      <c r="D67" s="20" t="s">
        <v>19</v>
      </c>
      <c r="E67" s="22">
        <v>74954.47</v>
      </c>
      <c r="F67" s="22">
        <v>6620</v>
      </c>
      <c r="G67" s="23">
        <v>5.3999999999999999E-2</v>
      </c>
      <c r="H67" s="22">
        <v>17</v>
      </c>
      <c r="I67" s="22">
        <v>91.1</v>
      </c>
      <c r="J67" s="29">
        <v>1.1100000000000001</v>
      </c>
      <c r="K67" s="22">
        <v>0</v>
      </c>
      <c r="L67" s="22">
        <v>0</v>
      </c>
      <c r="M67" s="22">
        <v>3.5</v>
      </c>
      <c r="N67" s="22">
        <v>0</v>
      </c>
      <c r="O67" s="22">
        <v>761860.19</v>
      </c>
      <c r="P67" s="22">
        <v>133279.38</v>
      </c>
      <c r="Q67" s="22">
        <v>0</v>
      </c>
      <c r="R67" s="29">
        <f t="shared" si="0"/>
        <v>11.224636141512203</v>
      </c>
      <c r="S67" s="29">
        <f t="shared" si="1"/>
        <v>13.543518340144404</v>
      </c>
      <c r="T67" s="29">
        <f t="shared" si="2"/>
        <v>8.7978506489310533</v>
      </c>
    </row>
    <row r="68" spans="1:20">
      <c r="A68" s="16" t="s">
        <v>39</v>
      </c>
      <c r="B68" s="17">
        <v>45658</v>
      </c>
      <c r="C68" s="16" t="s">
        <v>28</v>
      </c>
      <c r="D68" s="16" t="s">
        <v>19</v>
      </c>
      <c r="E68" s="18">
        <v>70040.31</v>
      </c>
      <c r="F68" s="18">
        <v>9175</v>
      </c>
      <c r="G68" s="19">
        <v>0.107</v>
      </c>
      <c r="H68" s="18">
        <v>23</v>
      </c>
      <c r="I68" s="18">
        <v>95.1</v>
      </c>
      <c r="J68" s="28">
        <v>6.08</v>
      </c>
      <c r="K68" s="18">
        <v>0</v>
      </c>
      <c r="L68" s="18">
        <v>1</v>
      </c>
      <c r="M68" s="18">
        <v>3.4</v>
      </c>
      <c r="N68" s="18">
        <v>0</v>
      </c>
      <c r="O68" s="18">
        <v>784502.68</v>
      </c>
      <c r="P68" s="18">
        <v>129519.72</v>
      </c>
      <c r="Q68" s="18">
        <v>0</v>
      </c>
      <c r="R68" s="28">
        <f t="shared" si="0"/>
        <v>11.156826212432255</v>
      </c>
      <c r="S68" s="28">
        <f t="shared" si="1"/>
        <v>13.572805267338044</v>
      </c>
      <c r="T68" s="28">
        <f t="shared" si="2"/>
        <v>9.1242376729227708</v>
      </c>
    </row>
    <row r="69" spans="1:20">
      <c r="A69" s="20" t="s">
        <v>39</v>
      </c>
      <c r="B69" s="21">
        <v>45689</v>
      </c>
      <c r="C69" s="20" t="s">
        <v>28</v>
      </c>
      <c r="D69" s="20" t="s">
        <v>19</v>
      </c>
      <c r="E69" s="22">
        <v>51148.69</v>
      </c>
      <c r="F69" s="22">
        <v>7940</v>
      </c>
      <c r="G69" s="23">
        <v>0.156</v>
      </c>
      <c r="H69" s="22">
        <v>18</v>
      </c>
      <c r="I69" s="22">
        <v>93.3</v>
      </c>
      <c r="J69" s="29">
        <v>10.91</v>
      </c>
      <c r="K69" s="22">
        <v>0</v>
      </c>
      <c r="L69" s="22">
        <v>0</v>
      </c>
      <c r="M69" s="22">
        <v>3.6</v>
      </c>
      <c r="N69" s="22">
        <v>0</v>
      </c>
      <c r="O69" s="22">
        <v>717141.55</v>
      </c>
      <c r="P69" s="22">
        <v>134013.60999999999</v>
      </c>
      <c r="Q69" s="22">
        <v>0</v>
      </c>
      <c r="R69" s="29">
        <f t="shared" ref="R69:R132" si="3">LN(E69)</f>
        <v>10.842492160103616</v>
      </c>
      <c r="S69" s="29">
        <f t="shared" ref="S69:S132" si="4">LN(O69)</f>
        <v>13.483028519901774</v>
      </c>
      <c r="T69" s="29">
        <f t="shared" ref="T69:T132" si="5">LN(F69)</f>
        <v>8.9796685542411812</v>
      </c>
    </row>
    <row r="70" spans="1:20">
      <c r="A70" s="16" t="s">
        <v>39</v>
      </c>
      <c r="B70" s="17">
        <v>45717</v>
      </c>
      <c r="C70" s="16" t="s">
        <v>28</v>
      </c>
      <c r="D70" s="16" t="s">
        <v>19</v>
      </c>
      <c r="E70" s="18">
        <v>79346.100000000006</v>
      </c>
      <c r="F70" s="18">
        <v>9628</v>
      </c>
      <c r="G70" s="19">
        <v>0.10199999999999999</v>
      </c>
      <c r="H70" s="18">
        <v>20</v>
      </c>
      <c r="I70" s="18">
        <v>99</v>
      </c>
      <c r="J70" s="28">
        <v>19.010000000000002</v>
      </c>
      <c r="K70" s="18">
        <v>0</v>
      </c>
      <c r="L70" s="18">
        <v>1</v>
      </c>
      <c r="M70" s="18">
        <v>3.2</v>
      </c>
      <c r="N70" s="18">
        <v>0</v>
      </c>
      <c r="O70" s="18">
        <v>685379.08</v>
      </c>
      <c r="P70" s="18">
        <v>106898.82</v>
      </c>
      <c r="Q70" s="18">
        <v>0</v>
      </c>
      <c r="R70" s="28">
        <f t="shared" si="3"/>
        <v>11.281574575408312</v>
      </c>
      <c r="S70" s="28">
        <f t="shared" si="4"/>
        <v>13.437727365634098</v>
      </c>
      <c r="T70" s="28">
        <f t="shared" si="5"/>
        <v>9.1724307989029619</v>
      </c>
    </row>
    <row r="71" spans="1:20">
      <c r="A71" s="20" t="s">
        <v>39</v>
      </c>
      <c r="B71" s="21">
        <v>45748</v>
      </c>
      <c r="C71" s="20" t="s">
        <v>28</v>
      </c>
      <c r="D71" s="20" t="s">
        <v>19</v>
      </c>
      <c r="E71" s="22">
        <v>42018.400000000001</v>
      </c>
      <c r="F71" s="22">
        <v>8296</v>
      </c>
      <c r="G71" s="23">
        <v>0.115</v>
      </c>
      <c r="H71" s="22">
        <v>17</v>
      </c>
      <c r="I71" s="22">
        <v>91.8</v>
      </c>
      <c r="J71" s="29">
        <v>0.77</v>
      </c>
      <c r="K71" s="22">
        <v>0</v>
      </c>
      <c r="L71" s="22">
        <v>0</v>
      </c>
      <c r="M71" s="22">
        <v>3.4</v>
      </c>
      <c r="N71" s="22">
        <v>0</v>
      </c>
      <c r="O71" s="22">
        <v>740496.65</v>
      </c>
      <c r="P71" s="22">
        <v>128020.9</v>
      </c>
      <c r="Q71" s="22">
        <v>0</v>
      </c>
      <c r="R71" s="29">
        <f t="shared" si="3"/>
        <v>10.6458628965679</v>
      </c>
      <c r="S71" s="29">
        <f t="shared" si="4"/>
        <v>13.515076388709467</v>
      </c>
      <c r="T71" s="29">
        <f t="shared" si="5"/>
        <v>9.0235287499093637</v>
      </c>
    </row>
    <row r="72" spans="1:20">
      <c r="A72" s="16" t="s">
        <v>40</v>
      </c>
      <c r="B72" s="17">
        <v>45658</v>
      </c>
      <c r="C72" s="16" t="s">
        <v>16</v>
      </c>
      <c r="D72" s="16" t="s">
        <v>19</v>
      </c>
      <c r="E72" s="18">
        <v>70937.240000000005</v>
      </c>
      <c r="F72" s="18">
        <v>3595</v>
      </c>
      <c r="G72" s="19">
        <v>0.14099999999999999</v>
      </c>
      <c r="H72" s="18">
        <v>11</v>
      </c>
      <c r="I72" s="18">
        <v>88.9</v>
      </c>
      <c r="J72" s="28">
        <v>2.83</v>
      </c>
      <c r="K72" s="18">
        <v>0</v>
      </c>
      <c r="L72" s="18">
        <v>1</v>
      </c>
      <c r="M72" s="18">
        <v>3.3</v>
      </c>
      <c r="N72" s="18">
        <v>0</v>
      </c>
      <c r="O72" s="18">
        <v>661927.14</v>
      </c>
      <c r="P72" s="18">
        <v>79218.570000000007</v>
      </c>
      <c r="Q72" s="18">
        <v>0</v>
      </c>
      <c r="R72" s="28">
        <f t="shared" si="3"/>
        <v>11.169550821452905</v>
      </c>
      <c r="S72" s="28">
        <f t="shared" si="4"/>
        <v>13.402910768439092</v>
      </c>
      <c r="T72" s="28">
        <f t="shared" si="5"/>
        <v>8.1872992701551475</v>
      </c>
    </row>
    <row r="73" spans="1:20">
      <c r="A73" s="20" t="s">
        <v>40</v>
      </c>
      <c r="B73" s="21">
        <v>45689</v>
      </c>
      <c r="C73" s="20" t="s">
        <v>16</v>
      </c>
      <c r="D73" s="20" t="s">
        <v>19</v>
      </c>
      <c r="E73" s="22">
        <v>36813.449999999997</v>
      </c>
      <c r="F73" s="22">
        <v>2834</v>
      </c>
      <c r="G73" s="23">
        <v>0.191</v>
      </c>
      <c r="H73" s="22">
        <v>11</v>
      </c>
      <c r="I73" s="22">
        <v>81.8</v>
      </c>
      <c r="J73" s="29">
        <v>2.33</v>
      </c>
      <c r="K73" s="22">
        <v>0</v>
      </c>
      <c r="L73" s="22">
        <v>0</v>
      </c>
      <c r="M73" s="22">
        <v>3.3</v>
      </c>
      <c r="N73" s="22">
        <v>0</v>
      </c>
      <c r="O73" s="22">
        <v>479050.5</v>
      </c>
      <c r="P73" s="22">
        <v>53651.11</v>
      </c>
      <c r="Q73" s="22">
        <v>0</v>
      </c>
      <c r="R73" s="29">
        <f t="shared" si="3"/>
        <v>10.513618546512575</v>
      </c>
      <c r="S73" s="29">
        <f t="shared" si="4"/>
        <v>13.079561298810862</v>
      </c>
      <c r="T73" s="29">
        <f t="shared" si="5"/>
        <v>7.949444420250626</v>
      </c>
    </row>
    <row r="74" spans="1:20">
      <c r="A74" s="16" t="s">
        <v>40</v>
      </c>
      <c r="B74" s="17">
        <v>45717</v>
      </c>
      <c r="C74" s="16" t="s">
        <v>16</v>
      </c>
      <c r="D74" s="16" t="s">
        <v>19</v>
      </c>
      <c r="E74" s="18">
        <v>60571.82</v>
      </c>
      <c r="F74" s="18">
        <v>3193</v>
      </c>
      <c r="G74" s="19">
        <v>0.19700000000000001</v>
      </c>
      <c r="H74" s="18">
        <v>7</v>
      </c>
      <c r="I74" s="18">
        <v>99</v>
      </c>
      <c r="J74" s="28">
        <v>1.43</v>
      </c>
      <c r="K74" s="18">
        <v>0</v>
      </c>
      <c r="L74" s="18">
        <v>0</v>
      </c>
      <c r="M74" s="18">
        <v>3.2</v>
      </c>
      <c r="N74" s="18">
        <v>0</v>
      </c>
      <c r="O74" s="18">
        <v>605023.87</v>
      </c>
      <c r="P74" s="18">
        <v>98545.81</v>
      </c>
      <c r="Q74" s="18">
        <v>0</v>
      </c>
      <c r="R74" s="28">
        <f t="shared" si="3"/>
        <v>11.011585047402052</v>
      </c>
      <c r="S74" s="28">
        <f t="shared" si="4"/>
        <v>13.313023190780124</v>
      </c>
      <c r="T74" s="28">
        <f t="shared" si="5"/>
        <v>8.0687161927147812</v>
      </c>
    </row>
    <row r="75" spans="1:20">
      <c r="A75" s="20" t="s">
        <v>40</v>
      </c>
      <c r="B75" s="21">
        <v>45748</v>
      </c>
      <c r="C75" s="20" t="s">
        <v>16</v>
      </c>
      <c r="D75" s="20" t="s">
        <v>19</v>
      </c>
      <c r="E75" s="22">
        <v>55081.16</v>
      </c>
      <c r="F75" s="22">
        <v>5485</v>
      </c>
      <c r="G75" s="23">
        <v>3.5999999999999997E-2</v>
      </c>
      <c r="H75" s="22">
        <v>12</v>
      </c>
      <c r="I75" s="22">
        <v>88</v>
      </c>
      <c r="J75" s="29">
        <v>3.3650000000000002</v>
      </c>
      <c r="K75" s="31">
        <v>1</v>
      </c>
      <c r="L75" s="22">
        <v>0</v>
      </c>
      <c r="M75" s="22">
        <v>3.5</v>
      </c>
      <c r="N75" s="22">
        <v>0</v>
      </c>
      <c r="O75" s="22">
        <v>674774.09</v>
      </c>
      <c r="P75" s="22">
        <v>141917.59</v>
      </c>
      <c r="Q75" s="22">
        <v>0</v>
      </c>
      <c r="R75" s="29">
        <f t="shared" si="3"/>
        <v>10.916563012896789</v>
      </c>
      <c r="S75" s="29">
        <f t="shared" si="4"/>
        <v>13.42213323235484</v>
      </c>
      <c r="T75" s="29">
        <f t="shared" si="5"/>
        <v>8.6097723727093314</v>
      </c>
    </row>
    <row r="76" spans="1:20">
      <c r="A76" s="16" t="s">
        <v>41</v>
      </c>
      <c r="B76" s="17">
        <v>45658</v>
      </c>
      <c r="C76" s="16" t="s">
        <v>16</v>
      </c>
      <c r="D76" s="16" t="s">
        <v>17</v>
      </c>
      <c r="E76" s="18">
        <v>46201.46</v>
      </c>
      <c r="F76" s="18">
        <v>5918</v>
      </c>
      <c r="G76" s="19">
        <v>0.27700000000000002</v>
      </c>
      <c r="H76" s="18">
        <v>13</v>
      </c>
      <c r="I76" s="18">
        <v>78.8</v>
      </c>
      <c r="J76" s="28">
        <v>4.91</v>
      </c>
      <c r="K76" s="18">
        <v>0</v>
      </c>
      <c r="L76" s="18">
        <v>0</v>
      </c>
      <c r="M76" s="18">
        <v>4.5</v>
      </c>
      <c r="N76" s="18">
        <v>0</v>
      </c>
      <c r="O76" s="18">
        <v>616069.41</v>
      </c>
      <c r="P76" s="18">
        <v>54453.99</v>
      </c>
      <c r="Q76" s="18">
        <v>0</v>
      </c>
      <c r="R76" s="28">
        <f t="shared" si="3"/>
        <v>10.740766678302109</v>
      </c>
      <c r="S76" s="28">
        <f t="shared" si="4"/>
        <v>13.331114914739333</v>
      </c>
      <c r="T76" s="28">
        <f t="shared" si="5"/>
        <v>8.6857538329601542</v>
      </c>
    </row>
    <row r="77" spans="1:20">
      <c r="A77" s="20" t="s">
        <v>41</v>
      </c>
      <c r="B77" s="21">
        <v>45689</v>
      </c>
      <c r="C77" s="20" t="s">
        <v>16</v>
      </c>
      <c r="D77" s="20" t="s">
        <v>17</v>
      </c>
      <c r="E77" s="22">
        <v>53762.92</v>
      </c>
      <c r="F77" s="22">
        <v>6821</v>
      </c>
      <c r="G77" s="23">
        <v>6.6000000000000003E-2</v>
      </c>
      <c r="H77" s="22">
        <v>19</v>
      </c>
      <c r="I77" s="22">
        <v>94.6</v>
      </c>
      <c r="J77" s="29">
        <v>7.03</v>
      </c>
      <c r="K77" s="22">
        <v>0</v>
      </c>
      <c r="L77" s="22">
        <v>0</v>
      </c>
      <c r="M77" s="22">
        <v>4.4000000000000004</v>
      </c>
      <c r="N77" s="22">
        <v>0</v>
      </c>
      <c r="O77" s="22">
        <v>630829.93999999994</v>
      </c>
      <c r="P77" s="22">
        <v>117090.02</v>
      </c>
      <c r="Q77" s="22">
        <v>0</v>
      </c>
      <c r="R77" s="29">
        <f t="shared" si="3"/>
        <v>10.892339289198189</v>
      </c>
      <c r="S77" s="29">
        <f t="shared" si="4"/>
        <v>13.354791596483027</v>
      </c>
      <c r="T77" s="29">
        <f t="shared" si="5"/>
        <v>8.8277613676547197</v>
      </c>
    </row>
    <row r="78" spans="1:20">
      <c r="A78" s="16" t="s">
        <v>41</v>
      </c>
      <c r="B78" s="17">
        <v>45717</v>
      </c>
      <c r="C78" s="16" t="s">
        <v>16</v>
      </c>
      <c r="D78" s="16" t="s">
        <v>17</v>
      </c>
      <c r="E78" s="18">
        <v>70144.78</v>
      </c>
      <c r="F78" s="18">
        <v>6806</v>
      </c>
      <c r="G78" s="19">
        <v>0.17799999999999999</v>
      </c>
      <c r="H78" s="18">
        <v>20</v>
      </c>
      <c r="I78" s="18">
        <v>93.1</v>
      </c>
      <c r="J78" s="28">
        <v>0.28000000000000003</v>
      </c>
      <c r="K78" s="18">
        <v>0</v>
      </c>
      <c r="L78" s="18">
        <v>1</v>
      </c>
      <c r="M78" s="18">
        <v>4.3</v>
      </c>
      <c r="N78" s="18">
        <v>0</v>
      </c>
      <c r="O78" s="18">
        <v>788087.68</v>
      </c>
      <c r="P78" s="18">
        <v>116803.42</v>
      </c>
      <c r="Q78" s="18">
        <v>0</v>
      </c>
      <c r="R78" s="28">
        <f t="shared" si="3"/>
        <v>11.158316670787558</v>
      </c>
      <c r="S78" s="28">
        <f t="shared" si="4"/>
        <v>13.57736463168561</v>
      </c>
      <c r="T78" s="28">
        <f t="shared" si="5"/>
        <v>8.8255598550608507</v>
      </c>
    </row>
    <row r="79" spans="1:20">
      <c r="A79" s="20" t="s">
        <v>41</v>
      </c>
      <c r="B79" s="21">
        <v>45748</v>
      </c>
      <c r="C79" s="20" t="s">
        <v>16</v>
      </c>
      <c r="D79" s="20" t="s">
        <v>17</v>
      </c>
      <c r="E79" s="22">
        <v>58749.63</v>
      </c>
      <c r="F79" s="22">
        <v>8252</v>
      </c>
      <c r="G79" s="23">
        <v>0.20300000000000001</v>
      </c>
      <c r="H79" s="22">
        <v>20</v>
      </c>
      <c r="I79" s="22">
        <v>85.2</v>
      </c>
      <c r="J79" s="29">
        <v>3.61</v>
      </c>
      <c r="K79" s="22">
        <v>0</v>
      </c>
      <c r="L79" s="22">
        <v>0</v>
      </c>
      <c r="M79" s="22">
        <v>4.5</v>
      </c>
      <c r="N79" s="22">
        <v>0</v>
      </c>
      <c r="O79" s="22">
        <v>680840.36</v>
      </c>
      <c r="P79" s="22">
        <v>68007.679999999993</v>
      </c>
      <c r="Q79" s="22">
        <v>0</v>
      </c>
      <c r="R79" s="29">
        <f t="shared" si="3"/>
        <v>10.981040134114233</v>
      </c>
      <c r="S79" s="29">
        <f t="shared" si="4"/>
        <v>13.431083137680362</v>
      </c>
      <c r="T79" s="29">
        <f t="shared" si="5"/>
        <v>9.0182108741911424</v>
      </c>
    </row>
    <row r="80" spans="1:20">
      <c r="A80" s="16" t="s">
        <v>42</v>
      </c>
      <c r="B80" s="17">
        <v>45658</v>
      </c>
      <c r="C80" s="16" t="s">
        <v>25</v>
      </c>
      <c r="D80" s="16" t="s">
        <v>19</v>
      </c>
      <c r="E80" s="18">
        <v>56973.18</v>
      </c>
      <c r="F80" s="18">
        <v>6662</v>
      </c>
      <c r="G80" s="19">
        <v>0.1</v>
      </c>
      <c r="H80" s="18">
        <v>15</v>
      </c>
      <c r="I80" s="18">
        <v>77.7</v>
      </c>
      <c r="J80" s="28">
        <v>7.52</v>
      </c>
      <c r="K80" s="18">
        <v>0</v>
      </c>
      <c r="L80" s="18">
        <v>1</v>
      </c>
      <c r="M80" s="18">
        <v>3.2</v>
      </c>
      <c r="N80" s="18">
        <v>0</v>
      </c>
      <c r="O80" s="18">
        <v>643657.47</v>
      </c>
      <c r="P80" s="18">
        <v>87022.45</v>
      </c>
      <c r="Q80" s="18">
        <v>0</v>
      </c>
      <c r="R80" s="28">
        <f t="shared" si="3"/>
        <v>10.950335909768654</v>
      </c>
      <c r="S80" s="28">
        <f t="shared" si="4"/>
        <v>13.374921984706756</v>
      </c>
      <c r="T80" s="28">
        <f t="shared" si="5"/>
        <v>8.8041750187536252</v>
      </c>
    </row>
    <row r="81" spans="1:20">
      <c r="A81" s="20" t="s">
        <v>42</v>
      </c>
      <c r="B81" s="21">
        <v>45689</v>
      </c>
      <c r="C81" s="20" t="s">
        <v>25</v>
      </c>
      <c r="D81" s="20" t="s">
        <v>19</v>
      </c>
      <c r="E81" s="22">
        <v>54872.82</v>
      </c>
      <c r="F81" s="22">
        <v>5962</v>
      </c>
      <c r="G81" s="23">
        <v>6.4000000000000001E-2</v>
      </c>
      <c r="H81" s="22">
        <v>12</v>
      </c>
      <c r="I81" s="22">
        <v>85.4</v>
      </c>
      <c r="J81" s="29">
        <v>2.58</v>
      </c>
      <c r="K81" s="22">
        <v>0</v>
      </c>
      <c r="L81" s="22">
        <v>0</v>
      </c>
      <c r="M81" s="22">
        <v>2.9</v>
      </c>
      <c r="N81" s="22">
        <v>0</v>
      </c>
      <c r="O81" s="22">
        <v>691112.6</v>
      </c>
      <c r="P81" s="22">
        <v>109212.83</v>
      </c>
      <c r="Q81" s="22">
        <v>0</v>
      </c>
      <c r="R81" s="29">
        <f t="shared" si="3"/>
        <v>10.912773422936867</v>
      </c>
      <c r="S81" s="29">
        <f t="shared" si="4"/>
        <v>13.446058041717658</v>
      </c>
      <c r="T81" s="29">
        <f t="shared" si="5"/>
        <v>8.6931612742380171</v>
      </c>
    </row>
    <row r="82" spans="1:20">
      <c r="A82" s="16" t="s">
        <v>42</v>
      </c>
      <c r="B82" s="17">
        <v>45717</v>
      </c>
      <c r="C82" s="16" t="s">
        <v>25</v>
      </c>
      <c r="D82" s="16" t="s">
        <v>19</v>
      </c>
      <c r="E82" s="18">
        <v>80562.81</v>
      </c>
      <c r="F82" s="18">
        <v>7470</v>
      </c>
      <c r="G82" s="19">
        <v>0.17199999999999999</v>
      </c>
      <c r="H82" s="18">
        <v>16</v>
      </c>
      <c r="I82" s="18">
        <v>83.5</v>
      </c>
      <c r="J82" s="28">
        <v>2.29</v>
      </c>
      <c r="K82" s="18">
        <v>0</v>
      </c>
      <c r="L82" s="18">
        <v>0</v>
      </c>
      <c r="M82" s="18">
        <v>3.3</v>
      </c>
      <c r="N82" s="18">
        <v>0</v>
      </c>
      <c r="O82" s="18">
        <v>776922.17</v>
      </c>
      <c r="P82" s="18">
        <v>150701.93</v>
      </c>
      <c r="Q82" s="18">
        <v>0</v>
      </c>
      <c r="R82" s="28">
        <f t="shared" si="3"/>
        <v>11.296792407618282</v>
      </c>
      <c r="S82" s="28">
        <f t="shared" si="4"/>
        <v>13.563095457022538</v>
      </c>
      <c r="T82" s="28">
        <f t="shared" si="5"/>
        <v>8.9186502781268633</v>
      </c>
    </row>
    <row r="83" spans="1:20">
      <c r="A83" s="20" t="s">
        <v>42</v>
      </c>
      <c r="B83" s="21">
        <v>45748</v>
      </c>
      <c r="C83" s="20" t="s">
        <v>25</v>
      </c>
      <c r="D83" s="20" t="s">
        <v>19</v>
      </c>
      <c r="E83" s="22">
        <v>77999.899999999994</v>
      </c>
      <c r="F83" s="22">
        <v>5974</v>
      </c>
      <c r="G83" s="23">
        <v>0.252</v>
      </c>
      <c r="H83" s="22">
        <v>14</v>
      </c>
      <c r="I83" s="22">
        <v>81.3</v>
      </c>
      <c r="J83" s="29">
        <v>2.39</v>
      </c>
      <c r="K83" s="22">
        <v>0</v>
      </c>
      <c r="L83" s="22">
        <v>0</v>
      </c>
      <c r="M83" s="22">
        <v>3.2</v>
      </c>
      <c r="N83" s="22">
        <v>0</v>
      </c>
      <c r="O83" s="22">
        <v>636561.34</v>
      </c>
      <c r="P83" s="22">
        <v>93861.06</v>
      </c>
      <c r="Q83" s="22">
        <v>0</v>
      </c>
      <c r="R83" s="29">
        <f t="shared" si="3"/>
        <v>11.264462823619624</v>
      </c>
      <c r="S83" s="29">
        <f t="shared" si="4"/>
        <v>13.363836063113924</v>
      </c>
      <c r="T83" s="29">
        <f t="shared" si="5"/>
        <v>8.6951719987760558</v>
      </c>
    </row>
    <row r="84" spans="1:20">
      <c r="A84" s="16" t="s">
        <v>43</v>
      </c>
      <c r="B84" s="17">
        <v>45658</v>
      </c>
      <c r="C84" s="16" t="s">
        <v>28</v>
      </c>
      <c r="D84" s="16" t="s">
        <v>29</v>
      </c>
      <c r="E84" s="18">
        <v>60881.01</v>
      </c>
      <c r="F84" s="18">
        <v>5410</v>
      </c>
      <c r="G84" s="19">
        <v>0.17899999999999999</v>
      </c>
      <c r="H84" s="18">
        <v>15</v>
      </c>
      <c r="I84" s="18">
        <v>83.9</v>
      </c>
      <c r="J84" s="28">
        <v>5.24</v>
      </c>
      <c r="K84" s="18">
        <v>0</v>
      </c>
      <c r="L84" s="18">
        <v>0</v>
      </c>
      <c r="M84" s="18">
        <v>4.5999999999999996</v>
      </c>
      <c r="N84" s="18">
        <v>0</v>
      </c>
      <c r="O84" s="18">
        <v>621369.57999999996</v>
      </c>
      <c r="P84" s="18">
        <v>85493.64</v>
      </c>
      <c r="Q84" s="18">
        <v>0</v>
      </c>
      <c r="R84" s="28">
        <f t="shared" si="3"/>
        <v>11.016676582411096</v>
      </c>
      <c r="S84" s="28">
        <f t="shared" si="4"/>
        <v>13.339681320767903</v>
      </c>
      <c r="T84" s="28">
        <f t="shared" si="5"/>
        <v>8.596004371840527</v>
      </c>
    </row>
    <row r="85" spans="1:20">
      <c r="A85" s="20" t="s">
        <v>43</v>
      </c>
      <c r="B85" s="21">
        <v>45689</v>
      </c>
      <c r="C85" s="20" t="s">
        <v>28</v>
      </c>
      <c r="D85" s="20" t="s">
        <v>29</v>
      </c>
      <c r="E85" s="22">
        <v>60628.38</v>
      </c>
      <c r="F85" s="22">
        <v>4451</v>
      </c>
      <c r="G85" s="23">
        <v>9.5000000000000001E-2</v>
      </c>
      <c r="H85" s="22">
        <v>10</v>
      </c>
      <c r="I85" s="22">
        <v>89.6</v>
      </c>
      <c r="J85" s="29">
        <v>3.17</v>
      </c>
      <c r="K85" s="22">
        <v>0</v>
      </c>
      <c r="L85" s="22">
        <v>0</v>
      </c>
      <c r="M85" s="22">
        <v>4.5999999999999996</v>
      </c>
      <c r="N85" s="22">
        <v>0</v>
      </c>
      <c r="O85" s="22">
        <v>682208.01</v>
      </c>
      <c r="P85" s="22">
        <v>110318.84</v>
      </c>
      <c r="Q85" s="22">
        <v>0</v>
      </c>
      <c r="R85" s="29">
        <f t="shared" si="3"/>
        <v>11.012518379262987</v>
      </c>
      <c r="S85" s="29">
        <f t="shared" si="4"/>
        <v>13.433089890322554</v>
      </c>
      <c r="T85" s="29">
        <f t="shared" si="5"/>
        <v>8.4008840690158539</v>
      </c>
    </row>
    <row r="86" spans="1:20">
      <c r="A86" s="16" t="s">
        <v>43</v>
      </c>
      <c r="B86" s="17">
        <v>45717</v>
      </c>
      <c r="C86" s="16" t="s">
        <v>28</v>
      </c>
      <c r="D86" s="16" t="s">
        <v>29</v>
      </c>
      <c r="E86" s="18">
        <v>72731.14</v>
      </c>
      <c r="F86" s="18">
        <v>4644</v>
      </c>
      <c r="G86" s="19">
        <v>8.4000000000000005E-2</v>
      </c>
      <c r="H86" s="18">
        <v>15</v>
      </c>
      <c r="I86" s="18">
        <v>87.1</v>
      </c>
      <c r="J86" s="28">
        <v>2.66</v>
      </c>
      <c r="K86" s="18">
        <v>0</v>
      </c>
      <c r="L86" s="18">
        <v>0</v>
      </c>
      <c r="M86" s="18">
        <v>4.5999999999999996</v>
      </c>
      <c r="N86" s="18">
        <v>0</v>
      </c>
      <c r="O86" s="18">
        <v>727241.86</v>
      </c>
      <c r="P86" s="18">
        <v>155810.29999999999</v>
      </c>
      <c r="Q86" s="18">
        <v>0</v>
      </c>
      <c r="R86" s="28">
        <f t="shared" si="3"/>
        <v>11.194524907437954</v>
      </c>
      <c r="S86" s="28">
        <f t="shared" si="4"/>
        <v>13.49701438344503</v>
      </c>
      <c r="T86" s="28">
        <f t="shared" si="5"/>
        <v>8.4433313428177819</v>
      </c>
    </row>
    <row r="87" spans="1:20">
      <c r="A87" s="20" t="s">
        <v>43</v>
      </c>
      <c r="B87" s="21">
        <v>45748</v>
      </c>
      <c r="C87" s="20" t="s">
        <v>28</v>
      </c>
      <c r="D87" s="20" t="s">
        <v>29</v>
      </c>
      <c r="E87" s="22">
        <v>36475.71</v>
      </c>
      <c r="F87" s="22">
        <v>3559</v>
      </c>
      <c r="G87" s="23">
        <v>0.03</v>
      </c>
      <c r="H87" s="22">
        <v>8</v>
      </c>
      <c r="I87" s="22">
        <v>83.6</v>
      </c>
      <c r="J87" s="29">
        <v>1.41</v>
      </c>
      <c r="K87" s="22">
        <v>0</v>
      </c>
      <c r="L87" s="22">
        <v>0</v>
      </c>
      <c r="M87" s="22">
        <v>4.2</v>
      </c>
      <c r="N87" s="22">
        <v>0</v>
      </c>
      <c r="O87" s="22">
        <v>569100.78</v>
      </c>
      <c r="P87" s="22">
        <v>104808.78</v>
      </c>
      <c r="Q87" s="22">
        <v>0</v>
      </c>
      <c r="R87" s="29">
        <f t="shared" si="3"/>
        <v>10.504401838588789</v>
      </c>
      <c r="S87" s="29">
        <f t="shared" si="4"/>
        <v>13.251812815175411</v>
      </c>
      <c r="T87" s="29">
        <f t="shared" si="5"/>
        <v>8.1772348855101935</v>
      </c>
    </row>
    <row r="88" spans="1:20">
      <c r="A88" s="16" t="s">
        <v>44</v>
      </c>
      <c r="B88" s="17">
        <v>45658</v>
      </c>
      <c r="C88" s="16" t="s">
        <v>28</v>
      </c>
      <c r="D88" s="16" t="s">
        <v>19</v>
      </c>
      <c r="E88" s="18">
        <v>55388.11</v>
      </c>
      <c r="F88" s="18">
        <v>3091</v>
      </c>
      <c r="G88" s="19">
        <v>0.108</v>
      </c>
      <c r="H88" s="18">
        <v>7</v>
      </c>
      <c r="I88" s="18">
        <v>85.4</v>
      </c>
      <c r="J88" s="28">
        <v>7.34</v>
      </c>
      <c r="K88" s="18">
        <v>0</v>
      </c>
      <c r="L88" s="18">
        <v>0</v>
      </c>
      <c r="M88" s="18">
        <v>4.9000000000000004</v>
      </c>
      <c r="N88" s="18">
        <v>0</v>
      </c>
      <c r="O88" s="18">
        <v>574436.29</v>
      </c>
      <c r="P88" s="18">
        <v>80271.990000000005</v>
      </c>
      <c r="Q88" s="18">
        <v>0</v>
      </c>
      <c r="R88" s="28">
        <f t="shared" si="3"/>
        <v>10.922120228762378</v>
      </c>
      <c r="S88" s="28">
        <f t="shared" si="4"/>
        <v>13.261144473689804</v>
      </c>
      <c r="T88" s="28">
        <f t="shared" si="5"/>
        <v>8.0362499421321161</v>
      </c>
    </row>
    <row r="89" spans="1:20">
      <c r="A89" s="20" t="s">
        <v>44</v>
      </c>
      <c r="B89" s="21">
        <v>45689</v>
      </c>
      <c r="C89" s="20" t="s">
        <v>28</v>
      </c>
      <c r="D89" s="20" t="s">
        <v>19</v>
      </c>
      <c r="E89" s="22">
        <v>88443.77</v>
      </c>
      <c r="F89" s="22">
        <v>4004</v>
      </c>
      <c r="G89" s="23">
        <v>0.20599999999999999</v>
      </c>
      <c r="H89" s="22">
        <v>11</v>
      </c>
      <c r="I89" s="22">
        <v>91.9</v>
      </c>
      <c r="J89" s="29">
        <v>5.95</v>
      </c>
      <c r="K89" s="22">
        <v>0</v>
      </c>
      <c r="L89" s="22">
        <v>0</v>
      </c>
      <c r="M89" s="22">
        <v>3.9</v>
      </c>
      <c r="N89" s="31">
        <v>1</v>
      </c>
      <c r="O89" s="22">
        <v>611766.72</v>
      </c>
      <c r="P89" s="22">
        <v>88275.61</v>
      </c>
      <c r="Q89" s="22">
        <v>0</v>
      </c>
      <c r="R89" s="29">
        <f t="shared" si="3"/>
        <v>11.390122261833085</v>
      </c>
      <c r="S89" s="29">
        <f t="shared" si="4"/>
        <v>13.324106312357658</v>
      </c>
      <c r="T89" s="29">
        <f t="shared" si="5"/>
        <v>8.2950491404351112</v>
      </c>
    </row>
    <row r="90" spans="1:20">
      <c r="A90" s="16" t="s">
        <v>44</v>
      </c>
      <c r="B90" s="17">
        <v>45717</v>
      </c>
      <c r="C90" s="16" t="s">
        <v>28</v>
      </c>
      <c r="D90" s="16" t="s">
        <v>19</v>
      </c>
      <c r="E90" s="18">
        <v>78231.91</v>
      </c>
      <c r="F90" s="18">
        <v>3788</v>
      </c>
      <c r="G90" s="19">
        <v>5.8999999999999997E-2</v>
      </c>
      <c r="H90" s="18">
        <v>11</v>
      </c>
      <c r="I90" s="18">
        <v>88.5</v>
      </c>
      <c r="J90" s="28">
        <v>15.51</v>
      </c>
      <c r="K90" s="18">
        <v>0</v>
      </c>
      <c r="L90" s="18">
        <v>0</v>
      </c>
      <c r="M90" s="18">
        <v>4.3</v>
      </c>
      <c r="N90" s="18">
        <v>0</v>
      </c>
      <c r="O90" s="18">
        <v>614596.31999999995</v>
      </c>
      <c r="P90" s="18">
        <v>131199.41</v>
      </c>
      <c r="Q90" s="18">
        <v>0</v>
      </c>
      <c r="R90" s="28">
        <f t="shared" si="3"/>
        <v>11.267432899567071</v>
      </c>
      <c r="S90" s="28">
        <f t="shared" si="4"/>
        <v>13.328720941026361</v>
      </c>
      <c r="T90" s="28">
        <f t="shared" si="5"/>
        <v>8.2395934543059681</v>
      </c>
    </row>
    <row r="91" spans="1:20">
      <c r="A91" s="20" t="s">
        <v>44</v>
      </c>
      <c r="B91" s="21">
        <v>45748</v>
      </c>
      <c r="C91" s="20" t="s">
        <v>28</v>
      </c>
      <c r="D91" s="20" t="s">
        <v>19</v>
      </c>
      <c r="E91" s="22">
        <v>18996.32</v>
      </c>
      <c r="F91" s="22">
        <v>1260</v>
      </c>
      <c r="G91" s="23">
        <v>0.14499999999999999</v>
      </c>
      <c r="H91" s="22">
        <v>9</v>
      </c>
      <c r="I91" s="22">
        <v>86.4</v>
      </c>
      <c r="J91" s="29">
        <v>4.3099999999999996</v>
      </c>
      <c r="K91" s="22">
        <v>0</v>
      </c>
      <c r="L91" s="22">
        <v>0</v>
      </c>
      <c r="M91" s="22">
        <v>4.5999999999999996</v>
      </c>
      <c r="N91" s="22">
        <v>0</v>
      </c>
      <c r="O91" s="22">
        <v>450711.92</v>
      </c>
      <c r="P91" s="22">
        <v>90043.76</v>
      </c>
      <c r="Q91" s="22">
        <v>0</v>
      </c>
      <c r="R91" s="29">
        <f t="shared" si="3"/>
        <v>9.8520005551788419</v>
      </c>
      <c r="S91" s="29">
        <f t="shared" si="4"/>
        <v>13.018583656076952</v>
      </c>
      <c r="T91" s="29">
        <f t="shared" si="5"/>
        <v>7.1388669999455239</v>
      </c>
    </row>
    <row r="92" spans="1:20">
      <c r="A92" s="16" t="s">
        <v>45</v>
      </c>
      <c r="B92" s="17">
        <v>45658</v>
      </c>
      <c r="C92" s="16" t="s">
        <v>25</v>
      </c>
      <c r="D92" s="16" t="s">
        <v>29</v>
      </c>
      <c r="E92" s="18">
        <v>50517.94</v>
      </c>
      <c r="F92" s="18">
        <v>7024</v>
      </c>
      <c r="G92" s="19">
        <v>2.9000000000000001E-2</v>
      </c>
      <c r="H92" s="18">
        <v>18</v>
      </c>
      <c r="I92" s="18">
        <v>79.2</v>
      </c>
      <c r="J92" s="28">
        <v>6.61</v>
      </c>
      <c r="K92" s="18">
        <v>0</v>
      </c>
      <c r="L92" s="18">
        <v>1</v>
      </c>
      <c r="M92" s="18">
        <v>4.0999999999999996</v>
      </c>
      <c r="N92" s="18">
        <v>0</v>
      </c>
      <c r="O92" s="18">
        <v>711213.46</v>
      </c>
      <c r="P92" s="18">
        <v>105863.26</v>
      </c>
      <c r="Q92" s="18">
        <v>0</v>
      </c>
      <c r="R92" s="28">
        <f t="shared" si="3"/>
        <v>10.830083799702741</v>
      </c>
      <c r="S92" s="28">
        <f t="shared" si="4"/>
        <v>13.474727888762022</v>
      </c>
      <c r="T92" s="28">
        <f t="shared" si="5"/>
        <v>8.8570881353149531</v>
      </c>
    </row>
    <row r="93" spans="1:20">
      <c r="A93" s="20" t="s">
        <v>45</v>
      </c>
      <c r="B93" s="21">
        <v>45689</v>
      </c>
      <c r="C93" s="20" t="s">
        <v>25</v>
      </c>
      <c r="D93" s="20" t="s">
        <v>29</v>
      </c>
      <c r="E93" s="22">
        <v>141540.29</v>
      </c>
      <c r="F93" s="22">
        <v>5400</v>
      </c>
      <c r="G93" s="23">
        <v>1.2999999999999999E-2</v>
      </c>
      <c r="H93" s="22">
        <v>12</v>
      </c>
      <c r="I93" s="22">
        <v>87</v>
      </c>
      <c r="J93" s="29">
        <v>4.26</v>
      </c>
      <c r="K93" s="22">
        <v>0</v>
      </c>
      <c r="L93" s="22">
        <v>0</v>
      </c>
      <c r="M93" s="22">
        <v>4.5</v>
      </c>
      <c r="N93" s="22">
        <v>0</v>
      </c>
      <c r="O93" s="22">
        <v>627171.9</v>
      </c>
      <c r="P93" s="22">
        <v>105772.75</v>
      </c>
      <c r="Q93" s="30">
        <v>1</v>
      </c>
      <c r="R93" s="29">
        <f t="shared" si="3"/>
        <v>11.860339690518449</v>
      </c>
      <c r="S93" s="29">
        <f t="shared" si="4"/>
        <v>13.348975944718765</v>
      </c>
      <c r="T93" s="29">
        <f t="shared" si="5"/>
        <v>8.5941542325523663</v>
      </c>
    </row>
    <row r="94" spans="1:20">
      <c r="A94" s="16" t="s">
        <v>45</v>
      </c>
      <c r="B94" s="17">
        <v>45717</v>
      </c>
      <c r="C94" s="16" t="s">
        <v>25</v>
      </c>
      <c r="D94" s="16" t="s">
        <v>29</v>
      </c>
      <c r="E94" s="18">
        <v>82116.19</v>
      </c>
      <c r="F94" s="18">
        <v>5988</v>
      </c>
      <c r="G94" s="19">
        <v>0.04</v>
      </c>
      <c r="H94" s="18">
        <v>17</v>
      </c>
      <c r="I94" s="18">
        <v>91.8</v>
      </c>
      <c r="J94" s="28">
        <v>5.75</v>
      </c>
      <c r="K94" s="18">
        <v>0</v>
      </c>
      <c r="L94" s="18">
        <v>0</v>
      </c>
      <c r="M94" s="18">
        <v>4.7</v>
      </c>
      <c r="N94" s="18">
        <v>0</v>
      </c>
      <c r="O94" s="18">
        <v>739852.58</v>
      </c>
      <c r="P94" s="18">
        <v>129386.43</v>
      </c>
      <c r="Q94" s="18">
        <v>0</v>
      </c>
      <c r="R94" s="28">
        <f t="shared" si="3"/>
        <v>11.315890474537811</v>
      </c>
      <c r="S94" s="28">
        <f t="shared" si="4"/>
        <v>13.514206229117949</v>
      </c>
      <c r="T94" s="28">
        <f t="shared" si="5"/>
        <v>8.6975127455395196</v>
      </c>
    </row>
    <row r="95" spans="1:20">
      <c r="A95" s="20" t="s">
        <v>45</v>
      </c>
      <c r="B95" s="21">
        <v>45748</v>
      </c>
      <c r="C95" s="20" t="s">
        <v>25</v>
      </c>
      <c r="D95" s="20" t="s">
        <v>29</v>
      </c>
      <c r="E95" s="22">
        <v>31207.51</v>
      </c>
      <c r="F95" s="22">
        <v>3701</v>
      </c>
      <c r="G95" s="23">
        <v>4.2999999999999997E-2</v>
      </c>
      <c r="H95" s="22">
        <v>11</v>
      </c>
      <c r="I95" s="22">
        <v>84.7</v>
      </c>
      <c r="J95" s="29">
        <v>0.33</v>
      </c>
      <c r="K95" s="22">
        <v>0</v>
      </c>
      <c r="L95" s="22">
        <v>0</v>
      </c>
      <c r="M95" s="22">
        <v>4.3</v>
      </c>
      <c r="N95" s="22">
        <v>0</v>
      </c>
      <c r="O95" s="22">
        <v>586307.22</v>
      </c>
      <c r="P95" s="22">
        <v>73927.850000000006</v>
      </c>
      <c r="Q95" s="22">
        <v>0</v>
      </c>
      <c r="R95" s="29">
        <f t="shared" si="3"/>
        <v>10.348414049960947</v>
      </c>
      <c r="S95" s="29">
        <f t="shared" si="4"/>
        <v>13.281599197391238</v>
      </c>
      <c r="T95" s="29">
        <f t="shared" si="5"/>
        <v>8.2163583323861555</v>
      </c>
    </row>
    <row r="96" spans="1:20">
      <c r="A96" s="16" t="s">
        <v>46</v>
      </c>
      <c r="B96" s="17">
        <v>45658</v>
      </c>
      <c r="C96" s="16" t="s">
        <v>28</v>
      </c>
      <c r="D96" s="16" t="s">
        <v>17</v>
      </c>
      <c r="E96" s="18">
        <v>38966.589999999997</v>
      </c>
      <c r="F96" s="18">
        <v>4509</v>
      </c>
      <c r="G96" s="19">
        <v>0.19400000000000001</v>
      </c>
      <c r="H96" s="18">
        <v>14</v>
      </c>
      <c r="I96" s="18">
        <v>91.1</v>
      </c>
      <c r="J96" s="28">
        <v>2.92</v>
      </c>
      <c r="K96" s="18">
        <v>0</v>
      </c>
      <c r="L96" s="18">
        <v>0</v>
      </c>
      <c r="M96" s="18">
        <v>4.5999999999999996</v>
      </c>
      <c r="N96" s="18">
        <v>0</v>
      </c>
      <c r="O96" s="18">
        <v>585937.48</v>
      </c>
      <c r="P96" s="18">
        <v>82624.2</v>
      </c>
      <c r="Q96" s="18">
        <v>0</v>
      </c>
      <c r="R96" s="28">
        <f t="shared" si="3"/>
        <v>10.57045989129653</v>
      </c>
      <c r="S96" s="28">
        <f t="shared" si="4"/>
        <v>13.280968373447633</v>
      </c>
      <c r="T96" s="28">
        <f t="shared" si="5"/>
        <v>8.4138306784210837</v>
      </c>
    </row>
    <row r="97" spans="1:20">
      <c r="A97" s="20" t="s">
        <v>46</v>
      </c>
      <c r="B97" s="21">
        <v>45689</v>
      </c>
      <c r="C97" s="20" t="s">
        <v>28</v>
      </c>
      <c r="D97" s="20" t="s">
        <v>17</v>
      </c>
      <c r="E97" s="22">
        <v>67439.3</v>
      </c>
      <c r="F97" s="22">
        <v>6477</v>
      </c>
      <c r="G97" s="23">
        <v>0</v>
      </c>
      <c r="H97" s="22">
        <v>16</v>
      </c>
      <c r="I97" s="22">
        <v>90.9</v>
      </c>
      <c r="J97" s="29">
        <v>1.64</v>
      </c>
      <c r="K97" s="22">
        <v>0</v>
      </c>
      <c r="L97" s="22">
        <v>0</v>
      </c>
      <c r="M97" s="22">
        <v>4.5</v>
      </c>
      <c r="N97" s="22">
        <v>0</v>
      </c>
      <c r="O97" s="22">
        <v>753473.55</v>
      </c>
      <c r="P97" s="22">
        <v>151527.22</v>
      </c>
      <c r="Q97" s="22">
        <v>0</v>
      </c>
      <c r="R97" s="29">
        <f t="shared" si="3"/>
        <v>11.11898321302519</v>
      </c>
      <c r="S97" s="29">
        <f t="shared" si="4"/>
        <v>13.532449193579216</v>
      </c>
      <c r="T97" s="29">
        <f t="shared" si="5"/>
        <v>8.7760127191829174</v>
      </c>
    </row>
    <row r="98" spans="1:20">
      <c r="A98" s="16" t="s">
        <v>46</v>
      </c>
      <c r="B98" s="17">
        <v>45717</v>
      </c>
      <c r="C98" s="16" t="s">
        <v>28</v>
      </c>
      <c r="D98" s="16" t="s">
        <v>17</v>
      </c>
      <c r="E98" s="18">
        <v>86421.88</v>
      </c>
      <c r="F98" s="18">
        <v>7970</v>
      </c>
      <c r="G98" s="19">
        <v>7.2999999999999995E-2</v>
      </c>
      <c r="H98" s="18">
        <v>17</v>
      </c>
      <c r="I98" s="18">
        <v>91.3</v>
      </c>
      <c r="J98" s="28">
        <v>0.8</v>
      </c>
      <c r="K98" s="18">
        <v>0</v>
      </c>
      <c r="L98" s="18">
        <v>0</v>
      </c>
      <c r="M98" s="18">
        <v>5</v>
      </c>
      <c r="N98" s="18">
        <v>0</v>
      </c>
      <c r="O98" s="18">
        <v>838250.32</v>
      </c>
      <c r="P98" s="18">
        <v>122939.34</v>
      </c>
      <c r="Q98" s="18">
        <v>0</v>
      </c>
      <c r="R98" s="28">
        <f t="shared" si="3"/>
        <v>11.366996163472864</v>
      </c>
      <c r="S98" s="28">
        <f t="shared" si="4"/>
        <v>13.639072046076091</v>
      </c>
      <c r="T98" s="28">
        <f t="shared" si="5"/>
        <v>8.9834397717842602</v>
      </c>
    </row>
    <row r="99" spans="1:20">
      <c r="A99" s="20" t="s">
        <v>46</v>
      </c>
      <c r="B99" s="21">
        <v>45748</v>
      </c>
      <c r="C99" s="20" t="s">
        <v>28</v>
      </c>
      <c r="D99" s="20" t="s">
        <v>17</v>
      </c>
      <c r="E99" s="22">
        <v>9534.65</v>
      </c>
      <c r="F99" s="22">
        <v>6057</v>
      </c>
      <c r="G99" s="23">
        <v>7.3999999999999996E-2</v>
      </c>
      <c r="H99" s="22">
        <v>15</v>
      </c>
      <c r="I99" s="22">
        <v>94.1</v>
      </c>
      <c r="J99" s="29">
        <v>5.79</v>
      </c>
      <c r="K99" s="22">
        <v>0</v>
      </c>
      <c r="L99" s="22">
        <v>0</v>
      </c>
      <c r="M99" s="22">
        <v>4.5</v>
      </c>
      <c r="N99" s="22">
        <v>0</v>
      </c>
      <c r="O99" s="22">
        <v>607898.12</v>
      </c>
      <c r="P99" s="22">
        <v>135404.85</v>
      </c>
      <c r="Q99" s="22">
        <v>0</v>
      </c>
      <c r="R99" s="29">
        <f t="shared" si="3"/>
        <v>9.1626878104913771</v>
      </c>
      <c r="S99" s="29">
        <f t="shared" si="4"/>
        <v>13.317762581118116</v>
      </c>
      <c r="T99" s="29">
        <f t="shared" si="5"/>
        <v>8.708969906980947</v>
      </c>
    </row>
    <row r="100" spans="1:20">
      <c r="A100" s="16" t="s">
        <v>47</v>
      </c>
      <c r="B100" s="17">
        <v>45658</v>
      </c>
      <c r="C100" s="16" t="s">
        <v>28</v>
      </c>
      <c r="D100" s="16" t="s">
        <v>29</v>
      </c>
      <c r="E100" s="18">
        <v>61132.07</v>
      </c>
      <c r="F100" s="18">
        <v>6394</v>
      </c>
      <c r="G100" s="19">
        <v>0.16300000000000001</v>
      </c>
      <c r="H100" s="18">
        <v>19</v>
      </c>
      <c r="I100" s="18">
        <v>91</v>
      </c>
      <c r="J100" s="28">
        <v>19.600000000000001</v>
      </c>
      <c r="K100" s="18">
        <v>0</v>
      </c>
      <c r="L100" s="18">
        <v>0</v>
      </c>
      <c r="M100" s="18">
        <v>4.4000000000000004</v>
      </c>
      <c r="N100" s="18">
        <v>0</v>
      </c>
      <c r="O100" s="18">
        <v>691113.62</v>
      </c>
      <c r="P100" s="18">
        <v>135145.44</v>
      </c>
      <c r="Q100" s="18">
        <v>0</v>
      </c>
      <c r="R100" s="28">
        <f t="shared" si="3"/>
        <v>11.020791884710214</v>
      </c>
      <c r="S100" s="28">
        <f t="shared" si="4"/>
        <v>13.446059517597634</v>
      </c>
      <c r="T100" s="28">
        <f t="shared" si="5"/>
        <v>8.7631153296197866</v>
      </c>
    </row>
    <row r="101" spans="1:20">
      <c r="A101" s="20" t="s">
        <v>47</v>
      </c>
      <c r="B101" s="21">
        <v>45689</v>
      </c>
      <c r="C101" s="20" t="s">
        <v>28</v>
      </c>
      <c r="D101" s="20" t="s">
        <v>29</v>
      </c>
      <c r="E101" s="22">
        <v>78839.39</v>
      </c>
      <c r="F101" s="22">
        <v>5150</v>
      </c>
      <c r="G101" s="23">
        <v>0.17100000000000001</v>
      </c>
      <c r="H101" s="22">
        <v>13</v>
      </c>
      <c r="I101" s="22">
        <v>85.8</v>
      </c>
      <c r="J101" s="29">
        <v>7.57</v>
      </c>
      <c r="K101" s="22">
        <v>0</v>
      </c>
      <c r="L101" s="22">
        <v>0</v>
      </c>
      <c r="M101" s="22">
        <v>4.3</v>
      </c>
      <c r="N101" s="22">
        <v>0</v>
      </c>
      <c r="O101" s="22">
        <v>735509.4</v>
      </c>
      <c r="P101" s="22">
        <v>83895.96</v>
      </c>
      <c r="Q101" s="22">
        <v>0</v>
      </c>
      <c r="R101" s="29">
        <f t="shared" si="3"/>
        <v>11.275168024047479</v>
      </c>
      <c r="S101" s="29">
        <f t="shared" si="4"/>
        <v>13.508318599363442</v>
      </c>
      <c r="T101" s="29">
        <f t="shared" si="5"/>
        <v>8.5467519936577823</v>
      </c>
    </row>
    <row r="102" spans="1:20">
      <c r="A102" s="16" t="s">
        <v>47</v>
      </c>
      <c r="B102" s="17">
        <v>45717</v>
      </c>
      <c r="C102" s="16" t="s">
        <v>28</v>
      </c>
      <c r="D102" s="16" t="s">
        <v>29</v>
      </c>
      <c r="E102" s="18">
        <v>38752.800000000003</v>
      </c>
      <c r="F102" s="18">
        <v>4712</v>
      </c>
      <c r="G102" s="19">
        <v>7.4999999999999997E-2</v>
      </c>
      <c r="H102" s="18">
        <v>15</v>
      </c>
      <c r="I102" s="18">
        <v>89.7</v>
      </c>
      <c r="J102" s="28">
        <v>3.3650000000000002</v>
      </c>
      <c r="K102" s="31">
        <v>1</v>
      </c>
      <c r="L102" s="18">
        <v>0</v>
      </c>
      <c r="M102" s="18">
        <v>4.3</v>
      </c>
      <c r="N102" s="18">
        <v>0</v>
      </c>
      <c r="O102" s="18">
        <v>605775.32999999996</v>
      </c>
      <c r="P102" s="18">
        <v>107194.6</v>
      </c>
      <c r="Q102" s="18">
        <v>0</v>
      </c>
      <c r="R102" s="28">
        <f t="shared" si="3"/>
        <v>10.564958290235522</v>
      </c>
      <c r="S102" s="28">
        <f t="shared" si="4"/>
        <v>13.314264453735175</v>
      </c>
      <c r="T102" s="28">
        <f t="shared" si="5"/>
        <v>8.4578677253314218</v>
      </c>
    </row>
    <row r="103" spans="1:20">
      <c r="A103" s="20" t="s">
        <v>47</v>
      </c>
      <c r="B103" s="21">
        <v>45748</v>
      </c>
      <c r="C103" s="20" t="s">
        <v>28</v>
      </c>
      <c r="D103" s="20" t="s">
        <v>29</v>
      </c>
      <c r="E103" s="22">
        <v>55101.1</v>
      </c>
      <c r="F103" s="22">
        <v>5281</v>
      </c>
      <c r="G103" s="23">
        <v>0.189</v>
      </c>
      <c r="H103" s="22">
        <v>11</v>
      </c>
      <c r="I103" s="22">
        <v>91</v>
      </c>
      <c r="J103" s="29">
        <v>2.7</v>
      </c>
      <c r="K103" s="22">
        <v>0</v>
      </c>
      <c r="L103" s="22">
        <v>0</v>
      </c>
      <c r="M103" s="22">
        <v>4.4000000000000004</v>
      </c>
      <c r="N103" s="22">
        <v>0</v>
      </c>
      <c r="O103" s="22">
        <v>675177.68</v>
      </c>
      <c r="P103" s="22">
        <v>105628.68</v>
      </c>
      <c r="Q103" s="22">
        <v>0</v>
      </c>
      <c r="R103" s="29">
        <f t="shared" si="3"/>
        <v>10.916924958644094</v>
      </c>
      <c r="S103" s="29">
        <f t="shared" si="4"/>
        <v>13.422731164845455</v>
      </c>
      <c r="T103" s="29">
        <f t="shared" si="5"/>
        <v>8.5718707527069338</v>
      </c>
    </row>
    <row r="104" spans="1:20">
      <c r="A104" s="16" t="s">
        <v>48</v>
      </c>
      <c r="B104" s="17">
        <v>45658</v>
      </c>
      <c r="C104" s="16" t="s">
        <v>16</v>
      </c>
      <c r="D104" s="16" t="s">
        <v>29</v>
      </c>
      <c r="E104" s="18">
        <v>53084.76</v>
      </c>
      <c r="F104" s="18">
        <v>3642</v>
      </c>
      <c r="G104" s="19">
        <v>0.15</v>
      </c>
      <c r="H104" s="18">
        <v>12</v>
      </c>
      <c r="I104" s="18">
        <v>91.4</v>
      </c>
      <c r="J104" s="28">
        <v>0.2</v>
      </c>
      <c r="K104" s="18">
        <v>0</v>
      </c>
      <c r="L104" s="18">
        <v>0</v>
      </c>
      <c r="M104" s="18">
        <v>4.4000000000000004</v>
      </c>
      <c r="N104" s="18">
        <v>0</v>
      </c>
      <c r="O104" s="18">
        <v>635181.35</v>
      </c>
      <c r="P104" s="18">
        <v>83341.25</v>
      </c>
      <c r="Q104" s="18">
        <v>0</v>
      </c>
      <c r="R104" s="28">
        <f t="shared" si="3"/>
        <v>10.879645160386309</v>
      </c>
      <c r="S104" s="28">
        <f t="shared" si="4"/>
        <v>13.361665827652791</v>
      </c>
      <c r="T104" s="28">
        <f t="shared" si="5"/>
        <v>8.2002882602875538</v>
      </c>
    </row>
    <row r="105" spans="1:20">
      <c r="A105" s="20" t="s">
        <v>48</v>
      </c>
      <c r="B105" s="21">
        <v>45689</v>
      </c>
      <c r="C105" s="20" t="s">
        <v>16</v>
      </c>
      <c r="D105" s="20" t="s">
        <v>29</v>
      </c>
      <c r="E105" s="22">
        <v>63101.59</v>
      </c>
      <c r="F105" s="22">
        <v>4373</v>
      </c>
      <c r="G105" s="23">
        <v>0.17299999999999999</v>
      </c>
      <c r="H105" s="22">
        <v>14</v>
      </c>
      <c r="I105" s="22">
        <v>90.4</v>
      </c>
      <c r="J105" s="29">
        <v>7.87</v>
      </c>
      <c r="K105" s="22">
        <v>0</v>
      </c>
      <c r="L105" s="22">
        <v>0</v>
      </c>
      <c r="M105" s="22">
        <v>4.7</v>
      </c>
      <c r="N105" s="22">
        <v>0</v>
      </c>
      <c r="O105" s="22">
        <v>586626.93999999994</v>
      </c>
      <c r="P105" s="22">
        <v>86498.55</v>
      </c>
      <c r="Q105" s="22">
        <v>0</v>
      </c>
      <c r="R105" s="29">
        <f t="shared" si="3"/>
        <v>11.052501246310095</v>
      </c>
      <c r="S105" s="29">
        <f t="shared" si="4"/>
        <v>13.282144360144308</v>
      </c>
      <c r="T105" s="29">
        <f t="shared" si="5"/>
        <v>8.3832045514129199</v>
      </c>
    </row>
    <row r="106" spans="1:20">
      <c r="A106" s="16" t="s">
        <v>48</v>
      </c>
      <c r="B106" s="17">
        <v>45717</v>
      </c>
      <c r="C106" s="16" t="s">
        <v>16</v>
      </c>
      <c r="D106" s="16" t="s">
        <v>29</v>
      </c>
      <c r="E106" s="18">
        <v>90084.4</v>
      </c>
      <c r="F106" s="18">
        <v>6832</v>
      </c>
      <c r="G106" s="19">
        <v>0.185</v>
      </c>
      <c r="H106" s="18">
        <v>14</v>
      </c>
      <c r="I106" s="18">
        <v>80.5</v>
      </c>
      <c r="J106" s="28">
        <v>0.77</v>
      </c>
      <c r="K106" s="18">
        <v>0</v>
      </c>
      <c r="L106" s="18">
        <v>1</v>
      </c>
      <c r="M106" s="18">
        <v>4.4000000000000004</v>
      </c>
      <c r="N106" s="18">
        <v>0</v>
      </c>
      <c r="O106" s="18">
        <v>740102.64</v>
      </c>
      <c r="P106" s="18">
        <v>114299.07</v>
      </c>
      <c r="Q106" s="18">
        <v>0</v>
      </c>
      <c r="R106" s="28">
        <f t="shared" si="3"/>
        <v>11.408502287651309</v>
      </c>
      <c r="S106" s="28">
        <f t="shared" si="4"/>
        <v>13.514544158264725</v>
      </c>
      <c r="T106" s="28">
        <f t="shared" si="5"/>
        <v>8.8293727354684055</v>
      </c>
    </row>
    <row r="107" spans="1:20">
      <c r="A107" s="20" t="s">
        <v>48</v>
      </c>
      <c r="B107" s="21">
        <v>45748</v>
      </c>
      <c r="C107" s="20" t="s">
        <v>16</v>
      </c>
      <c r="D107" s="20" t="s">
        <v>29</v>
      </c>
      <c r="E107" s="22">
        <v>32266.639999999999</v>
      </c>
      <c r="F107" s="22">
        <v>2414</v>
      </c>
      <c r="G107" s="23">
        <v>0.08</v>
      </c>
      <c r="H107" s="22">
        <v>7</v>
      </c>
      <c r="I107" s="22">
        <v>92.1</v>
      </c>
      <c r="J107" s="29">
        <v>1.48</v>
      </c>
      <c r="K107" s="22">
        <v>0</v>
      </c>
      <c r="L107" s="22">
        <v>0</v>
      </c>
      <c r="M107" s="22">
        <v>5</v>
      </c>
      <c r="N107" s="22">
        <v>0</v>
      </c>
      <c r="O107" s="22">
        <v>625514.04</v>
      </c>
      <c r="P107" s="22">
        <v>120685.08</v>
      </c>
      <c r="Q107" s="22">
        <v>0</v>
      </c>
      <c r="R107" s="29">
        <f t="shared" si="3"/>
        <v>10.381789158149935</v>
      </c>
      <c r="S107" s="29">
        <f t="shared" si="4"/>
        <v>13.346329054680361</v>
      </c>
      <c r="T107" s="29">
        <f t="shared" si="5"/>
        <v>7.789040401657477</v>
      </c>
    </row>
    <row r="108" spans="1:20">
      <c r="A108" s="16" t="s">
        <v>49</v>
      </c>
      <c r="B108" s="17">
        <v>45658</v>
      </c>
      <c r="C108" s="16" t="s">
        <v>28</v>
      </c>
      <c r="D108" s="16" t="s">
        <v>19</v>
      </c>
      <c r="E108" s="18">
        <v>57919.07</v>
      </c>
      <c r="F108" s="18">
        <v>7374</v>
      </c>
      <c r="G108" s="19">
        <v>0.10299999999999999</v>
      </c>
      <c r="H108" s="18">
        <v>21</v>
      </c>
      <c r="I108" s="18">
        <v>82.3</v>
      </c>
      <c r="J108" s="28">
        <v>2.87</v>
      </c>
      <c r="K108" s="18">
        <v>0</v>
      </c>
      <c r="L108" s="18">
        <v>0</v>
      </c>
      <c r="M108" s="18">
        <v>2.9</v>
      </c>
      <c r="N108" s="18">
        <v>0</v>
      </c>
      <c r="O108" s="18">
        <v>727227.2</v>
      </c>
      <c r="P108" s="18">
        <v>121292.01</v>
      </c>
      <c r="Q108" s="18">
        <v>0</v>
      </c>
      <c r="R108" s="28">
        <f t="shared" si="3"/>
        <v>10.966801970300855</v>
      </c>
      <c r="S108" s="28">
        <f t="shared" si="4"/>
        <v>13.496994224886278</v>
      </c>
      <c r="T108" s="28">
        <f t="shared" si="5"/>
        <v>8.9057155787940907</v>
      </c>
    </row>
    <row r="109" spans="1:20">
      <c r="A109" s="20" t="s">
        <v>49</v>
      </c>
      <c r="B109" s="21">
        <v>45689</v>
      </c>
      <c r="C109" s="20" t="s">
        <v>28</v>
      </c>
      <c r="D109" s="20" t="s">
        <v>19</v>
      </c>
      <c r="E109" s="22">
        <v>74679.350000000006</v>
      </c>
      <c r="F109" s="22">
        <v>8739</v>
      </c>
      <c r="G109" s="23">
        <v>5.6000000000000001E-2</v>
      </c>
      <c r="H109" s="22">
        <v>21</v>
      </c>
      <c r="I109" s="22">
        <v>91.8</v>
      </c>
      <c r="J109" s="29">
        <v>2.83</v>
      </c>
      <c r="K109" s="22">
        <v>0</v>
      </c>
      <c r="L109" s="22">
        <v>0</v>
      </c>
      <c r="M109" s="22">
        <v>3</v>
      </c>
      <c r="N109" s="22">
        <v>0</v>
      </c>
      <c r="O109" s="22">
        <v>783797.89</v>
      </c>
      <c r="P109" s="22">
        <v>157620.70000000001</v>
      </c>
      <c r="Q109" s="22">
        <v>0</v>
      </c>
      <c r="R109" s="29">
        <f t="shared" si="3"/>
        <v>11.220958893814888</v>
      </c>
      <c r="S109" s="29">
        <f t="shared" si="4"/>
        <v>13.571906472730776</v>
      </c>
      <c r="T109" s="29">
        <f t="shared" si="5"/>
        <v>9.0755510456275434</v>
      </c>
    </row>
    <row r="110" spans="1:20">
      <c r="A110" s="16" t="s">
        <v>49</v>
      </c>
      <c r="B110" s="17">
        <v>45717</v>
      </c>
      <c r="C110" s="16" t="s">
        <v>28</v>
      </c>
      <c r="D110" s="16" t="s">
        <v>19</v>
      </c>
      <c r="E110" s="18">
        <v>64294.23</v>
      </c>
      <c r="F110" s="18">
        <v>6992</v>
      </c>
      <c r="G110" s="19">
        <v>0.13300000000000001</v>
      </c>
      <c r="H110" s="18">
        <v>14</v>
      </c>
      <c r="I110" s="18">
        <v>94.1</v>
      </c>
      <c r="J110" s="28">
        <v>0.25</v>
      </c>
      <c r="K110" s="18">
        <v>0</v>
      </c>
      <c r="L110" s="18">
        <v>0</v>
      </c>
      <c r="M110" s="18">
        <v>3</v>
      </c>
      <c r="N110" s="18">
        <v>0</v>
      </c>
      <c r="O110" s="18">
        <v>795153.84</v>
      </c>
      <c r="P110" s="18">
        <v>143194.21</v>
      </c>
      <c r="Q110" s="18">
        <v>0</v>
      </c>
      <c r="R110" s="28">
        <f t="shared" si="3"/>
        <v>11.071225170584922</v>
      </c>
      <c r="S110" s="28">
        <f t="shared" si="4"/>
        <v>13.586290884349896</v>
      </c>
      <c r="T110" s="28">
        <f t="shared" si="5"/>
        <v>8.8525219173353715</v>
      </c>
    </row>
    <row r="111" spans="1:20">
      <c r="A111" s="20" t="s">
        <v>49</v>
      </c>
      <c r="B111" s="21">
        <v>45748</v>
      </c>
      <c r="C111" s="20" t="s">
        <v>28</v>
      </c>
      <c r="D111" s="20" t="s">
        <v>19</v>
      </c>
      <c r="E111" s="22">
        <v>31042.03</v>
      </c>
      <c r="F111" s="22">
        <v>7107</v>
      </c>
      <c r="G111" s="23">
        <v>5.0999999999999997E-2</v>
      </c>
      <c r="H111" s="22">
        <v>15</v>
      </c>
      <c r="I111" s="22">
        <v>87</v>
      </c>
      <c r="J111" s="29">
        <v>13.33</v>
      </c>
      <c r="K111" s="22">
        <v>0</v>
      </c>
      <c r="L111" s="22">
        <v>0</v>
      </c>
      <c r="M111" s="22">
        <v>3.2</v>
      </c>
      <c r="N111" s="22">
        <v>0</v>
      </c>
      <c r="O111" s="22">
        <v>665594.93999999994</v>
      </c>
      <c r="P111" s="22">
        <v>127597.34</v>
      </c>
      <c r="Q111" s="22">
        <v>0</v>
      </c>
      <c r="R111" s="29">
        <f t="shared" si="3"/>
        <v>10.343097371643237</v>
      </c>
      <c r="S111" s="29">
        <f t="shared" si="4"/>
        <v>13.408436566296778</v>
      </c>
      <c r="T111" s="29">
        <f t="shared" si="5"/>
        <v>8.8688354928268947</v>
      </c>
    </row>
    <row r="112" spans="1:20">
      <c r="A112" s="16" t="s">
        <v>50</v>
      </c>
      <c r="B112" s="17">
        <v>45658</v>
      </c>
      <c r="C112" s="16" t="s">
        <v>16</v>
      </c>
      <c r="D112" s="16" t="s">
        <v>29</v>
      </c>
      <c r="E112" s="18">
        <v>75265.02</v>
      </c>
      <c r="F112" s="18">
        <v>6975</v>
      </c>
      <c r="G112" s="19">
        <v>0.157</v>
      </c>
      <c r="H112" s="18">
        <v>20</v>
      </c>
      <c r="I112" s="18">
        <v>73.8</v>
      </c>
      <c r="J112" s="28">
        <v>6.35</v>
      </c>
      <c r="K112" s="18">
        <v>0</v>
      </c>
      <c r="L112" s="18">
        <v>1</v>
      </c>
      <c r="M112" s="18">
        <v>3.8</v>
      </c>
      <c r="N112" s="18">
        <v>0</v>
      </c>
      <c r="O112" s="18">
        <v>709478.39</v>
      </c>
      <c r="P112" s="18">
        <v>71294.27</v>
      </c>
      <c r="Q112" s="18">
        <v>0</v>
      </c>
      <c r="R112" s="28">
        <f t="shared" si="3"/>
        <v>11.228770764022331</v>
      </c>
      <c r="S112" s="28">
        <f t="shared" si="4"/>
        <v>13.472285317049316</v>
      </c>
      <c r="T112" s="28">
        <f t="shared" si="5"/>
        <v>8.8500876066895664</v>
      </c>
    </row>
    <row r="113" spans="1:20">
      <c r="A113" s="20" t="s">
        <v>50</v>
      </c>
      <c r="B113" s="21">
        <v>45689</v>
      </c>
      <c r="C113" s="20" t="s">
        <v>16</v>
      </c>
      <c r="D113" s="20" t="s">
        <v>29</v>
      </c>
      <c r="E113" s="22">
        <v>69411.7</v>
      </c>
      <c r="F113" s="22">
        <v>5493</v>
      </c>
      <c r="G113" s="23">
        <v>0.29199999999999998</v>
      </c>
      <c r="H113" s="22">
        <v>13</v>
      </c>
      <c r="I113" s="22">
        <v>86.5</v>
      </c>
      <c r="J113" s="29">
        <v>6.69</v>
      </c>
      <c r="K113" s="22">
        <v>0</v>
      </c>
      <c r="L113" s="22">
        <v>0</v>
      </c>
      <c r="M113" s="22">
        <v>3.8</v>
      </c>
      <c r="N113" s="22">
        <v>0</v>
      </c>
      <c r="O113" s="22">
        <v>664162.49</v>
      </c>
      <c r="P113" s="22">
        <v>98291.06</v>
      </c>
      <c r="Q113" s="22">
        <v>0</v>
      </c>
      <c r="R113" s="29">
        <f t="shared" si="3"/>
        <v>11.147810720181807</v>
      </c>
      <c r="S113" s="29">
        <f t="shared" si="4"/>
        <v>13.406282112376442</v>
      </c>
      <c r="T113" s="29">
        <f t="shared" si="5"/>
        <v>8.6112298333426196</v>
      </c>
    </row>
    <row r="114" spans="1:20">
      <c r="A114" s="16" t="s">
        <v>50</v>
      </c>
      <c r="B114" s="17">
        <v>45717</v>
      </c>
      <c r="C114" s="16" t="s">
        <v>16</v>
      </c>
      <c r="D114" s="16" t="s">
        <v>29</v>
      </c>
      <c r="E114" s="18">
        <v>51056.15</v>
      </c>
      <c r="F114" s="18">
        <v>5686</v>
      </c>
      <c r="G114" s="19">
        <v>8.8999999999999996E-2</v>
      </c>
      <c r="H114" s="18">
        <v>13</v>
      </c>
      <c r="I114" s="18">
        <v>89.9</v>
      </c>
      <c r="J114" s="28">
        <v>1.28</v>
      </c>
      <c r="K114" s="18">
        <v>0</v>
      </c>
      <c r="L114" s="18">
        <v>0</v>
      </c>
      <c r="M114" s="18">
        <v>4.2</v>
      </c>
      <c r="N114" s="18">
        <v>0</v>
      </c>
      <c r="O114" s="18">
        <v>633494.21</v>
      </c>
      <c r="P114" s="18">
        <v>105739.47</v>
      </c>
      <c r="Q114" s="18">
        <v>0</v>
      </c>
      <c r="R114" s="28">
        <f t="shared" si="3"/>
        <v>10.840681286464195</v>
      </c>
      <c r="S114" s="28">
        <f t="shared" si="4"/>
        <v>13.359006139001485</v>
      </c>
      <c r="T114" s="28">
        <f t="shared" si="5"/>
        <v>8.6457622922109447</v>
      </c>
    </row>
    <row r="115" spans="1:20">
      <c r="A115" s="20" t="s">
        <v>50</v>
      </c>
      <c r="B115" s="21">
        <v>45748</v>
      </c>
      <c r="C115" s="20" t="s">
        <v>16</v>
      </c>
      <c r="D115" s="20" t="s">
        <v>29</v>
      </c>
      <c r="E115" s="22">
        <v>52758.01</v>
      </c>
      <c r="F115" s="22">
        <v>4063</v>
      </c>
      <c r="G115" s="23">
        <v>5.7000000000000002E-2</v>
      </c>
      <c r="H115" s="22">
        <v>12</v>
      </c>
      <c r="I115" s="22">
        <v>91.7</v>
      </c>
      <c r="J115" s="29">
        <v>0.92</v>
      </c>
      <c r="K115" s="22">
        <v>0</v>
      </c>
      <c r="L115" s="22">
        <v>0</v>
      </c>
      <c r="M115" s="22">
        <v>3.5</v>
      </c>
      <c r="N115" s="22">
        <v>0</v>
      </c>
      <c r="O115" s="22">
        <v>713611.16</v>
      </c>
      <c r="P115" s="22">
        <v>129717.18</v>
      </c>
      <c r="Q115" s="22">
        <v>0</v>
      </c>
      <c r="R115" s="29">
        <f t="shared" si="3"/>
        <v>10.873470888151752</v>
      </c>
      <c r="S115" s="29">
        <f t="shared" si="4"/>
        <v>13.478093499139101</v>
      </c>
      <c r="T115" s="29">
        <f t="shared" si="5"/>
        <v>8.3096768959877263</v>
      </c>
    </row>
    <row r="116" spans="1:20">
      <c r="A116" s="16" t="s">
        <v>51</v>
      </c>
      <c r="B116" s="17">
        <v>45658</v>
      </c>
      <c r="C116" s="16" t="s">
        <v>28</v>
      </c>
      <c r="D116" s="16" t="s">
        <v>29</v>
      </c>
      <c r="E116" s="18">
        <v>61426.04</v>
      </c>
      <c r="F116" s="18">
        <v>8966</v>
      </c>
      <c r="G116" s="19">
        <v>0.17299999999999999</v>
      </c>
      <c r="H116" s="18">
        <v>22</v>
      </c>
      <c r="I116" s="18">
        <v>76.400000000000006</v>
      </c>
      <c r="J116" s="28">
        <v>1.05</v>
      </c>
      <c r="K116" s="18">
        <v>0</v>
      </c>
      <c r="L116" s="18">
        <v>0</v>
      </c>
      <c r="M116" s="18">
        <v>3.1</v>
      </c>
      <c r="N116" s="18">
        <v>0</v>
      </c>
      <c r="O116" s="18">
        <v>778397.97</v>
      </c>
      <c r="P116" s="18">
        <v>120044.41</v>
      </c>
      <c r="Q116" s="18">
        <v>0</v>
      </c>
      <c r="R116" s="28">
        <f t="shared" si="3"/>
        <v>11.025589128462979</v>
      </c>
      <c r="S116" s="28">
        <f t="shared" si="4"/>
        <v>13.564993201936863</v>
      </c>
      <c r="T116" s="28">
        <f t="shared" si="5"/>
        <v>9.1011949247153847</v>
      </c>
    </row>
    <row r="117" spans="1:20">
      <c r="A117" s="20" t="s">
        <v>51</v>
      </c>
      <c r="B117" s="21">
        <v>45689</v>
      </c>
      <c r="C117" s="20" t="s">
        <v>28</v>
      </c>
      <c r="D117" s="20" t="s">
        <v>29</v>
      </c>
      <c r="E117" s="22">
        <v>80176.34</v>
      </c>
      <c r="F117" s="22">
        <v>9489</v>
      </c>
      <c r="G117" s="23">
        <v>0.14199999999999999</v>
      </c>
      <c r="H117" s="22">
        <v>22</v>
      </c>
      <c r="I117" s="22">
        <v>94.3</v>
      </c>
      <c r="J117" s="29">
        <v>2.67</v>
      </c>
      <c r="K117" s="22">
        <v>0</v>
      </c>
      <c r="L117" s="22">
        <v>0</v>
      </c>
      <c r="M117" s="22">
        <v>3.5</v>
      </c>
      <c r="N117" s="22">
        <v>0</v>
      </c>
      <c r="O117" s="22">
        <v>873380.02</v>
      </c>
      <c r="P117" s="22">
        <v>149734.76</v>
      </c>
      <c r="Q117" s="22">
        <v>0</v>
      </c>
      <c r="R117" s="29">
        <f t="shared" si="3"/>
        <v>11.29198373786104</v>
      </c>
      <c r="S117" s="29">
        <f t="shared" si="4"/>
        <v>13.680126043655608</v>
      </c>
      <c r="T117" s="29">
        <f t="shared" si="5"/>
        <v>9.1578885119737592</v>
      </c>
    </row>
    <row r="118" spans="1:20">
      <c r="A118" s="16" t="s">
        <v>51</v>
      </c>
      <c r="B118" s="17">
        <v>45717</v>
      </c>
      <c r="C118" s="16" t="s">
        <v>28</v>
      </c>
      <c r="D118" s="16" t="s">
        <v>29</v>
      </c>
      <c r="E118" s="18">
        <v>33605.18</v>
      </c>
      <c r="F118" s="18">
        <v>9225</v>
      </c>
      <c r="G118" s="19">
        <v>0.159</v>
      </c>
      <c r="H118" s="18">
        <v>23</v>
      </c>
      <c r="I118" s="18">
        <v>88.4</v>
      </c>
      <c r="J118" s="28">
        <v>5.91</v>
      </c>
      <c r="K118" s="18">
        <v>0</v>
      </c>
      <c r="L118" s="18">
        <v>0</v>
      </c>
      <c r="M118" s="18">
        <v>2.8</v>
      </c>
      <c r="N118" s="18">
        <v>0</v>
      </c>
      <c r="O118" s="18">
        <v>697287.9</v>
      </c>
      <c r="P118" s="18">
        <v>128208.33</v>
      </c>
      <c r="Q118" s="18">
        <v>0</v>
      </c>
      <c r="R118" s="28">
        <f t="shared" si="3"/>
        <v>10.422435500735503</v>
      </c>
      <c r="S118" s="28">
        <f t="shared" si="4"/>
        <v>13.454953660412624</v>
      </c>
      <c r="T118" s="28">
        <f t="shared" si="5"/>
        <v>9.1296724689087281</v>
      </c>
    </row>
    <row r="119" spans="1:20">
      <c r="A119" s="20" t="s">
        <v>51</v>
      </c>
      <c r="B119" s="21">
        <v>45748</v>
      </c>
      <c r="C119" s="20" t="s">
        <v>28</v>
      </c>
      <c r="D119" s="20" t="s">
        <v>29</v>
      </c>
      <c r="E119" s="22">
        <v>25990.54</v>
      </c>
      <c r="F119" s="22">
        <v>9249</v>
      </c>
      <c r="G119" s="23">
        <v>0.13900000000000001</v>
      </c>
      <c r="H119" s="22">
        <v>23</v>
      </c>
      <c r="I119" s="22">
        <v>92.5</v>
      </c>
      <c r="J119" s="29">
        <v>6.37</v>
      </c>
      <c r="K119" s="22">
        <v>0</v>
      </c>
      <c r="L119" s="22">
        <v>0</v>
      </c>
      <c r="M119" s="22">
        <v>3.3</v>
      </c>
      <c r="N119" s="22">
        <v>0</v>
      </c>
      <c r="O119" s="22">
        <v>718074.79</v>
      </c>
      <c r="P119" s="22">
        <v>115819.87</v>
      </c>
      <c r="Q119" s="22">
        <v>0</v>
      </c>
      <c r="R119" s="29">
        <f t="shared" si="3"/>
        <v>10.165487904641701</v>
      </c>
      <c r="S119" s="29">
        <f t="shared" si="4"/>
        <v>13.484329006951036</v>
      </c>
      <c r="T119" s="29">
        <f t="shared" si="5"/>
        <v>9.1322707165542596</v>
      </c>
    </row>
    <row r="120" spans="1:20">
      <c r="A120" s="16" t="s">
        <v>52</v>
      </c>
      <c r="B120" s="17">
        <v>45658</v>
      </c>
      <c r="C120" s="16" t="s">
        <v>28</v>
      </c>
      <c r="D120" s="16" t="s">
        <v>17</v>
      </c>
      <c r="E120" s="18">
        <v>43685.14</v>
      </c>
      <c r="F120" s="18">
        <v>7821</v>
      </c>
      <c r="G120" s="19">
        <v>0.19</v>
      </c>
      <c r="H120" s="18">
        <v>17</v>
      </c>
      <c r="I120" s="18">
        <v>91</v>
      </c>
      <c r="J120" s="28">
        <v>2.4900000000000002</v>
      </c>
      <c r="K120" s="18">
        <v>0</v>
      </c>
      <c r="L120" s="18">
        <v>1</v>
      </c>
      <c r="M120" s="18">
        <v>4.7</v>
      </c>
      <c r="N120" s="18">
        <v>0</v>
      </c>
      <c r="O120" s="18">
        <v>714942.43</v>
      </c>
      <c r="P120" s="18">
        <v>94697.71</v>
      </c>
      <c r="Q120" s="18">
        <v>0</v>
      </c>
      <c r="R120" s="28">
        <f t="shared" si="3"/>
        <v>10.68476327748842</v>
      </c>
      <c r="S120" s="28">
        <f t="shared" si="4"/>
        <v>13.47995730095192</v>
      </c>
      <c r="T120" s="28">
        <f t="shared" si="5"/>
        <v>8.9645677026016113</v>
      </c>
    </row>
    <row r="121" spans="1:20">
      <c r="A121" s="20" t="s">
        <v>52</v>
      </c>
      <c r="B121" s="21">
        <v>45689</v>
      </c>
      <c r="C121" s="20" t="s">
        <v>28</v>
      </c>
      <c r="D121" s="20" t="s">
        <v>17</v>
      </c>
      <c r="E121" s="22">
        <v>57360.01</v>
      </c>
      <c r="F121" s="22">
        <v>8434</v>
      </c>
      <c r="G121" s="23">
        <v>0.151</v>
      </c>
      <c r="H121" s="22">
        <v>19</v>
      </c>
      <c r="I121" s="22">
        <v>84.1</v>
      </c>
      <c r="J121" s="29">
        <v>1.56</v>
      </c>
      <c r="K121" s="22">
        <v>0</v>
      </c>
      <c r="L121" s="22">
        <v>0</v>
      </c>
      <c r="M121" s="22">
        <v>4.7</v>
      </c>
      <c r="N121" s="22">
        <v>0</v>
      </c>
      <c r="O121" s="22">
        <v>820519.04</v>
      </c>
      <c r="P121" s="22">
        <v>99035.88</v>
      </c>
      <c r="Q121" s="22">
        <v>0</v>
      </c>
      <c r="R121" s="29">
        <f t="shared" si="3"/>
        <v>10.957102649611004</v>
      </c>
      <c r="S121" s="29">
        <f t="shared" si="4"/>
        <v>13.617692394605626</v>
      </c>
      <c r="T121" s="29">
        <f t="shared" si="5"/>
        <v>9.0400264343065047</v>
      </c>
    </row>
    <row r="122" spans="1:20">
      <c r="A122" s="16" t="s">
        <v>52</v>
      </c>
      <c r="B122" s="17">
        <v>45717</v>
      </c>
      <c r="C122" s="16" t="s">
        <v>28</v>
      </c>
      <c r="D122" s="16" t="s">
        <v>17</v>
      </c>
      <c r="E122" s="18">
        <v>42415.47</v>
      </c>
      <c r="F122" s="18">
        <v>8512</v>
      </c>
      <c r="G122" s="19">
        <v>0.13300000000000001</v>
      </c>
      <c r="H122" s="18">
        <v>18</v>
      </c>
      <c r="I122" s="18">
        <v>96.8</v>
      </c>
      <c r="J122" s="28">
        <v>14.95</v>
      </c>
      <c r="K122" s="18">
        <v>0</v>
      </c>
      <c r="L122" s="18">
        <v>0</v>
      </c>
      <c r="M122" s="18">
        <v>4.5999999999999996</v>
      </c>
      <c r="N122" s="18">
        <v>0</v>
      </c>
      <c r="O122" s="18">
        <v>684217.32</v>
      </c>
      <c r="P122" s="18">
        <v>136217.19</v>
      </c>
      <c r="Q122" s="18">
        <v>0</v>
      </c>
      <c r="R122" s="28">
        <f t="shared" si="3"/>
        <v>10.655268433165942</v>
      </c>
      <c r="S122" s="28">
        <f t="shared" si="4"/>
        <v>13.436030865440845</v>
      </c>
      <c r="T122" s="28">
        <f t="shared" si="5"/>
        <v>9.0492322115814261</v>
      </c>
    </row>
    <row r="123" spans="1:20">
      <c r="A123" s="20" t="s">
        <v>52</v>
      </c>
      <c r="B123" s="21">
        <v>45748</v>
      </c>
      <c r="C123" s="20" t="s">
        <v>28</v>
      </c>
      <c r="D123" s="20" t="s">
        <v>17</v>
      </c>
      <c r="E123" s="22">
        <v>54968.98</v>
      </c>
      <c r="F123" s="22">
        <v>7816</v>
      </c>
      <c r="G123" s="23">
        <v>0.23200000000000001</v>
      </c>
      <c r="H123" s="22">
        <v>19</v>
      </c>
      <c r="I123" s="22">
        <v>95.7</v>
      </c>
      <c r="J123" s="29">
        <v>7.85</v>
      </c>
      <c r="K123" s="22">
        <v>0</v>
      </c>
      <c r="L123" s="22">
        <v>0</v>
      </c>
      <c r="M123" s="22">
        <v>4.7</v>
      </c>
      <c r="N123" s="22">
        <v>0</v>
      </c>
      <c r="O123" s="22">
        <v>735480.19</v>
      </c>
      <c r="P123" s="22">
        <v>88342.11</v>
      </c>
      <c r="Q123" s="22">
        <v>0</v>
      </c>
      <c r="R123" s="29">
        <f t="shared" si="3"/>
        <v>10.914524305106781</v>
      </c>
      <c r="S123" s="29">
        <f t="shared" si="4"/>
        <v>13.508278884602436</v>
      </c>
      <c r="T123" s="29">
        <f t="shared" si="5"/>
        <v>8.9639281937226194</v>
      </c>
    </row>
    <row r="124" spans="1:20">
      <c r="A124" s="16" t="s">
        <v>53</v>
      </c>
      <c r="B124" s="17">
        <v>45658</v>
      </c>
      <c r="C124" s="16" t="s">
        <v>21</v>
      </c>
      <c r="D124" s="16" t="s">
        <v>19</v>
      </c>
      <c r="E124" s="18">
        <v>43896.13</v>
      </c>
      <c r="F124" s="18">
        <v>3853</v>
      </c>
      <c r="G124" s="19">
        <v>8.7999999999999995E-2</v>
      </c>
      <c r="H124" s="18">
        <v>13</v>
      </c>
      <c r="I124" s="18">
        <v>83</v>
      </c>
      <c r="J124" s="28">
        <v>6.8</v>
      </c>
      <c r="K124" s="18">
        <v>0</v>
      </c>
      <c r="L124" s="18">
        <v>0</v>
      </c>
      <c r="M124" s="18">
        <v>4.4000000000000004</v>
      </c>
      <c r="N124" s="18">
        <v>0</v>
      </c>
      <c r="O124" s="18">
        <v>509484.81</v>
      </c>
      <c r="P124" s="18">
        <v>85742.36</v>
      </c>
      <c r="Q124" s="18">
        <v>0</v>
      </c>
      <c r="R124" s="28">
        <f t="shared" si="3"/>
        <v>10.689581440279897</v>
      </c>
      <c r="S124" s="28">
        <f t="shared" si="4"/>
        <v>13.141155317657795</v>
      </c>
      <c r="T124" s="28">
        <f t="shared" si="5"/>
        <v>8.2566073446261576</v>
      </c>
    </row>
    <row r="125" spans="1:20">
      <c r="A125" s="20" t="s">
        <v>53</v>
      </c>
      <c r="B125" s="21">
        <v>45689</v>
      </c>
      <c r="C125" s="20" t="s">
        <v>21</v>
      </c>
      <c r="D125" s="20" t="s">
        <v>19</v>
      </c>
      <c r="E125" s="22">
        <v>83044.17</v>
      </c>
      <c r="F125" s="22">
        <v>3694</v>
      </c>
      <c r="G125" s="23">
        <v>0</v>
      </c>
      <c r="H125" s="22">
        <v>14</v>
      </c>
      <c r="I125" s="22">
        <v>89.4</v>
      </c>
      <c r="J125" s="29">
        <v>2.2000000000000002</v>
      </c>
      <c r="K125" s="22">
        <v>0</v>
      </c>
      <c r="L125" s="22">
        <v>0</v>
      </c>
      <c r="M125" s="22">
        <v>3.7</v>
      </c>
      <c r="N125" s="22">
        <v>0</v>
      </c>
      <c r="O125" s="22">
        <v>654317.09</v>
      </c>
      <c r="P125" s="22">
        <v>121446.89</v>
      </c>
      <c r="Q125" s="22">
        <v>0</v>
      </c>
      <c r="R125" s="29">
        <f t="shared" si="3"/>
        <v>11.327127913901903</v>
      </c>
      <c r="S125" s="29">
        <f t="shared" si="4"/>
        <v>13.391347360033762</v>
      </c>
      <c r="T125" s="29">
        <f t="shared" si="5"/>
        <v>8.2144651607591861</v>
      </c>
    </row>
    <row r="126" spans="1:20">
      <c r="A126" s="16" t="s">
        <v>53</v>
      </c>
      <c r="B126" s="17">
        <v>45717</v>
      </c>
      <c r="C126" s="16" t="s">
        <v>21</v>
      </c>
      <c r="D126" s="16" t="s">
        <v>19</v>
      </c>
      <c r="E126" s="18">
        <v>48396.13</v>
      </c>
      <c r="F126" s="18">
        <v>4423</v>
      </c>
      <c r="G126" s="19">
        <v>6.9000000000000006E-2</v>
      </c>
      <c r="H126" s="18">
        <v>15</v>
      </c>
      <c r="I126" s="18">
        <v>85.7</v>
      </c>
      <c r="J126" s="28">
        <v>1.88</v>
      </c>
      <c r="K126" s="18">
        <v>0</v>
      </c>
      <c r="L126" s="18">
        <v>0</v>
      </c>
      <c r="M126" s="18">
        <v>3.9</v>
      </c>
      <c r="N126" s="18">
        <v>0</v>
      </c>
      <c r="O126" s="18">
        <v>557487.26</v>
      </c>
      <c r="P126" s="18">
        <v>76432.19</v>
      </c>
      <c r="Q126" s="18">
        <v>0</v>
      </c>
      <c r="R126" s="28">
        <f t="shared" si="3"/>
        <v>10.787175130830171</v>
      </c>
      <c r="S126" s="28">
        <f t="shared" si="4"/>
        <v>13.231194930037363</v>
      </c>
      <c r="T126" s="28">
        <f t="shared" si="5"/>
        <v>8.3945734778683274</v>
      </c>
    </row>
    <row r="127" spans="1:20">
      <c r="A127" s="20" t="s">
        <v>53</v>
      </c>
      <c r="B127" s="21">
        <v>45748</v>
      </c>
      <c r="C127" s="20" t="s">
        <v>21</v>
      </c>
      <c r="D127" s="20" t="s">
        <v>19</v>
      </c>
      <c r="E127" s="22">
        <v>19063.48</v>
      </c>
      <c r="F127" s="22">
        <v>1906</v>
      </c>
      <c r="G127" s="23">
        <v>0.216</v>
      </c>
      <c r="H127" s="22">
        <v>10</v>
      </c>
      <c r="I127" s="22">
        <v>97.8</v>
      </c>
      <c r="J127" s="29">
        <v>15.79</v>
      </c>
      <c r="K127" s="22">
        <v>0</v>
      </c>
      <c r="L127" s="22">
        <v>0</v>
      </c>
      <c r="M127" s="22">
        <v>4.4000000000000004</v>
      </c>
      <c r="N127" s="22">
        <v>0</v>
      </c>
      <c r="O127" s="22">
        <v>441275.42</v>
      </c>
      <c r="P127" s="22">
        <v>58234.87</v>
      </c>
      <c r="Q127" s="22">
        <v>0</v>
      </c>
      <c r="R127" s="29">
        <f t="shared" si="3"/>
        <v>9.8555297418643928</v>
      </c>
      <c r="S127" s="29">
        <f t="shared" si="4"/>
        <v>12.99742449463546</v>
      </c>
      <c r="T127" s="29">
        <f t="shared" si="5"/>
        <v>7.5527620842141472</v>
      </c>
    </row>
    <row r="128" spans="1:20">
      <c r="A128" s="16" t="s">
        <v>54</v>
      </c>
      <c r="B128" s="17">
        <v>45658</v>
      </c>
      <c r="C128" s="16" t="s">
        <v>25</v>
      </c>
      <c r="D128" s="16" t="s">
        <v>19</v>
      </c>
      <c r="E128" s="18">
        <v>61541.21</v>
      </c>
      <c r="F128" s="18">
        <v>10396</v>
      </c>
      <c r="G128" s="19">
        <v>0.123</v>
      </c>
      <c r="H128" s="18">
        <v>25</v>
      </c>
      <c r="I128" s="18">
        <v>88.1</v>
      </c>
      <c r="J128" s="28">
        <v>2.34</v>
      </c>
      <c r="K128" s="18">
        <v>0</v>
      </c>
      <c r="L128" s="18">
        <v>1</v>
      </c>
      <c r="M128" s="18">
        <v>4.8</v>
      </c>
      <c r="N128" s="18">
        <v>0</v>
      </c>
      <c r="O128" s="18">
        <v>914544.17</v>
      </c>
      <c r="P128" s="18">
        <v>79831.73</v>
      </c>
      <c r="Q128" s="18">
        <v>0</v>
      </c>
      <c r="R128" s="28">
        <f t="shared" si="3"/>
        <v>11.027462310691188</v>
      </c>
      <c r="S128" s="28">
        <f t="shared" si="4"/>
        <v>13.726181045263946</v>
      </c>
      <c r="T128" s="28">
        <f t="shared" si="5"/>
        <v>9.2491763957613813</v>
      </c>
    </row>
    <row r="129" spans="1:20">
      <c r="A129" s="20" t="s">
        <v>54</v>
      </c>
      <c r="B129" s="21">
        <v>45689</v>
      </c>
      <c r="C129" s="20" t="s">
        <v>25</v>
      </c>
      <c r="D129" s="20" t="s">
        <v>19</v>
      </c>
      <c r="E129" s="22">
        <v>44747</v>
      </c>
      <c r="F129" s="22">
        <v>11076</v>
      </c>
      <c r="G129" s="23">
        <v>0.17599999999999999</v>
      </c>
      <c r="H129" s="22">
        <v>27</v>
      </c>
      <c r="I129" s="22">
        <v>98.3</v>
      </c>
      <c r="J129" s="29">
        <v>0.54</v>
      </c>
      <c r="K129" s="22">
        <v>0</v>
      </c>
      <c r="L129" s="22">
        <v>0</v>
      </c>
      <c r="M129" s="22">
        <v>4.4000000000000004</v>
      </c>
      <c r="N129" s="22">
        <v>0</v>
      </c>
      <c r="O129" s="22">
        <v>842439.67</v>
      </c>
      <c r="P129" s="22">
        <v>169983.63</v>
      </c>
      <c r="Q129" s="22">
        <v>0</v>
      </c>
      <c r="R129" s="29">
        <f t="shared" si="3"/>
        <v>10.708779682349634</v>
      </c>
      <c r="S129" s="29">
        <f t="shared" si="4"/>
        <v>13.644057330336052</v>
      </c>
      <c r="T129" s="29">
        <f t="shared" si="5"/>
        <v>9.3125358842908526</v>
      </c>
    </row>
    <row r="130" spans="1:20">
      <c r="A130" s="16" t="s">
        <v>54</v>
      </c>
      <c r="B130" s="17">
        <v>45717</v>
      </c>
      <c r="C130" s="16" t="s">
        <v>25</v>
      </c>
      <c r="D130" s="16" t="s">
        <v>19</v>
      </c>
      <c r="E130" s="18">
        <v>56517.9</v>
      </c>
      <c r="F130" s="18">
        <v>9574</v>
      </c>
      <c r="G130" s="19">
        <v>0.20399999999999999</v>
      </c>
      <c r="H130" s="18">
        <v>20</v>
      </c>
      <c r="I130" s="18">
        <v>88.2</v>
      </c>
      <c r="J130" s="28">
        <v>5.37</v>
      </c>
      <c r="K130" s="18">
        <v>0</v>
      </c>
      <c r="L130" s="18">
        <v>1</v>
      </c>
      <c r="M130" s="18">
        <v>4.9000000000000004</v>
      </c>
      <c r="N130" s="18">
        <v>0</v>
      </c>
      <c r="O130" s="18">
        <v>842157.92</v>
      </c>
      <c r="P130" s="18">
        <v>107348.22</v>
      </c>
      <c r="Q130" s="18">
        <v>0</v>
      </c>
      <c r="R130" s="28">
        <f t="shared" si="3"/>
        <v>10.942312681118816</v>
      </c>
      <c r="S130" s="28">
        <f t="shared" si="4"/>
        <v>13.643722829082696</v>
      </c>
      <c r="T130" s="28">
        <f t="shared" si="5"/>
        <v>9.1668063699524538</v>
      </c>
    </row>
    <row r="131" spans="1:20">
      <c r="A131" s="20" t="s">
        <v>54</v>
      </c>
      <c r="B131" s="21">
        <v>45748</v>
      </c>
      <c r="C131" s="20" t="s">
        <v>25</v>
      </c>
      <c r="D131" s="20" t="s">
        <v>19</v>
      </c>
      <c r="E131" s="22">
        <v>37828.5</v>
      </c>
      <c r="F131" s="22">
        <v>8221</v>
      </c>
      <c r="G131" s="23">
        <v>9.6000000000000002E-2</v>
      </c>
      <c r="H131" s="22">
        <v>19</v>
      </c>
      <c r="I131" s="22">
        <v>81.5</v>
      </c>
      <c r="J131" s="29">
        <v>3.19</v>
      </c>
      <c r="K131" s="22">
        <v>0</v>
      </c>
      <c r="L131" s="22">
        <v>0</v>
      </c>
      <c r="M131" s="22">
        <v>4.8</v>
      </c>
      <c r="N131" s="22">
        <v>0</v>
      </c>
      <c r="O131" s="22">
        <v>697155.3</v>
      </c>
      <c r="P131" s="22">
        <v>136408.54</v>
      </c>
      <c r="Q131" s="22">
        <v>0</v>
      </c>
      <c r="R131" s="29">
        <f t="shared" si="3"/>
        <v>10.540818065770372</v>
      </c>
      <c r="S131" s="29">
        <f t="shared" si="4"/>
        <v>13.454763476975392</v>
      </c>
      <c r="T131" s="29">
        <f t="shared" si="5"/>
        <v>9.0144471351521336</v>
      </c>
    </row>
    <row r="132" spans="1:20">
      <c r="A132" s="16" t="s">
        <v>55</v>
      </c>
      <c r="B132" s="17">
        <v>45658</v>
      </c>
      <c r="C132" s="16" t="s">
        <v>16</v>
      </c>
      <c r="D132" s="16" t="s">
        <v>19</v>
      </c>
      <c r="E132" s="18">
        <v>66250.53</v>
      </c>
      <c r="F132" s="18">
        <v>10618</v>
      </c>
      <c r="G132" s="19">
        <v>0.14199999999999999</v>
      </c>
      <c r="H132" s="18">
        <v>27</v>
      </c>
      <c r="I132" s="18">
        <v>88.3</v>
      </c>
      <c r="J132" s="28">
        <v>1.1000000000000001</v>
      </c>
      <c r="K132" s="18">
        <v>0</v>
      </c>
      <c r="L132" s="18">
        <v>1</v>
      </c>
      <c r="M132" s="18">
        <v>4.4000000000000004</v>
      </c>
      <c r="N132" s="18">
        <v>0</v>
      </c>
      <c r="O132" s="18">
        <v>849018.3</v>
      </c>
      <c r="P132" s="18">
        <v>149035.13</v>
      </c>
      <c r="Q132" s="18">
        <v>0</v>
      </c>
      <c r="R132" s="28">
        <f t="shared" si="3"/>
        <v>11.101198743816468</v>
      </c>
      <c r="S132" s="28">
        <f t="shared" si="4"/>
        <v>13.651836019831501</v>
      </c>
      <c r="T132" s="28">
        <f t="shared" si="5"/>
        <v>9.2703059531436161</v>
      </c>
    </row>
    <row r="133" spans="1:20">
      <c r="A133" s="20" t="s">
        <v>55</v>
      </c>
      <c r="B133" s="21">
        <v>45689</v>
      </c>
      <c r="C133" s="20" t="s">
        <v>16</v>
      </c>
      <c r="D133" s="20" t="s">
        <v>19</v>
      </c>
      <c r="E133" s="22">
        <v>68410.929999999993</v>
      </c>
      <c r="F133" s="22">
        <v>10596</v>
      </c>
      <c r="G133" s="23">
        <v>0.20699999999999999</v>
      </c>
      <c r="H133" s="22">
        <v>25</v>
      </c>
      <c r="I133" s="22">
        <v>81.2</v>
      </c>
      <c r="J133" s="29">
        <v>0.21</v>
      </c>
      <c r="K133" s="22">
        <v>0</v>
      </c>
      <c r="L133" s="22">
        <v>0</v>
      </c>
      <c r="M133" s="22">
        <v>4</v>
      </c>
      <c r="N133" s="22">
        <v>0</v>
      </c>
      <c r="O133" s="22">
        <v>801830.35</v>
      </c>
      <c r="P133" s="22">
        <v>114875.32</v>
      </c>
      <c r="Q133" s="22">
        <v>0</v>
      </c>
      <c r="R133" s="29">
        <f t="shared" ref="R133:R196" si="6">LN(E133)</f>
        <v>11.133287886166366</v>
      </c>
      <c r="S133" s="29">
        <f t="shared" ref="S133:S196" si="7">LN(O133)</f>
        <v>13.594652330806415</v>
      </c>
      <c r="T133" s="29">
        <f t="shared" ref="T133:T196" si="8">LN(F133)</f>
        <v>9.2682318503919596</v>
      </c>
    </row>
    <row r="134" spans="1:20">
      <c r="A134" s="16" t="s">
        <v>55</v>
      </c>
      <c r="B134" s="17">
        <v>45717</v>
      </c>
      <c r="C134" s="16" t="s">
        <v>16</v>
      </c>
      <c r="D134" s="16" t="s">
        <v>19</v>
      </c>
      <c r="E134" s="18">
        <v>50735.63</v>
      </c>
      <c r="F134" s="18">
        <v>9619</v>
      </c>
      <c r="G134" s="19">
        <v>0.14399999999999999</v>
      </c>
      <c r="H134" s="18">
        <v>19</v>
      </c>
      <c r="I134" s="18">
        <v>93.8</v>
      </c>
      <c r="J134" s="28">
        <v>5.12</v>
      </c>
      <c r="K134" s="18">
        <v>0</v>
      </c>
      <c r="L134" s="18">
        <v>1</v>
      </c>
      <c r="M134" s="18">
        <v>4.5</v>
      </c>
      <c r="N134" s="18">
        <v>0</v>
      </c>
      <c r="O134" s="18">
        <v>725235.28</v>
      </c>
      <c r="P134" s="18">
        <v>121632.24</v>
      </c>
      <c r="Q134" s="18">
        <v>0</v>
      </c>
      <c r="R134" s="28">
        <f t="shared" si="6"/>
        <v>10.834383704099377</v>
      </c>
      <c r="S134" s="28">
        <f t="shared" si="7"/>
        <v>13.494251405328175</v>
      </c>
      <c r="T134" s="28">
        <f t="shared" si="8"/>
        <v>9.1714955881526148</v>
      </c>
    </row>
    <row r="135" spans="1:20">
      <c r="A135" s="20" t="s">
        <v>55</v>
      </c>
      <c r="B135" s="21">
        <v>45748</v>
      </c>
      <c r="C135" s="20" t="s">
        <v>16</v>
      </c>
      <c r="D135" s="20" t="s">
        <v>19</v>
      </c>
      <c r="E135" s="22">
        <v>66455.8</v>
      </c>
      <c r="F135" s="22">
        <v>10836</v>
      </c>
      <c r="G135" s="23">
        <v>8.8999999999999996E-2</v>
      </c>
      <c r="H135" s="22">
        <v>25</v>
      </c>
      <c r="I135" s="22">
        <v>85</v>
      </c>
      <c r="J135" s="29">
        <v>9.77</v>
      </c>
      <c r="K135" s="22">
        <v>0</v>
      </c>
      <c r="L135" s="22">
        <v>0</v>
      </c>
      <c r="M135" s="22">
        <v>4.5</v>
      </c>
      <c r="N135" s="22">
        <v>0</v>
      </c>
      <c r="O135" s="22">
        <v>811452.72</v>
      </c>
      <c r="P135" s="22">
        <v>131325.67000000001</v>
      </c>
      <c r="Q135" s="22">
        <v>0</v>
      </c>
      <c r="R135" s="29">
        <f t="shared" si="6"/>
        <v>11.104292344004326</v>
      </c>
      <c r="S135" s="29">
        <f t="shared" si="7"/>
        <v>13.606581401762565</v>
      </c>
      <c r="T135" s="29">
        <f t="shared" si="8"/>
        <v>9.2906292032049862</v>
      </c>
    </row>
    <row r="136" spans="1:20">
      <c r="A136" s="16" t="s">
        <v>56</v>
      </c>
      <c r="B136" s="17">
        <v>45658</v>
      </c>
      <c r="C136" s="16" t="s">
        <v>21</v>
      </c>
      <c r="D136" s="16" t="s">
        <v>19</v>
      </c>
      <c r="E136" s="18">
        <v>70276.28</v>
      </c>
      <c r="F136" s="18">
        <v>3043</v>
      </c>
      <c r="G136" s="19">
        <v>7.9000000000000001E-2</v>
      </c>
      <c r="H136" s="18">
        <v>9</v>
      </c>
      <c r="I136" s="18">
        <v>87.9</v>
      </c>
      <c r="J136" s="28">
        <v>3.77</v>
      </c>
      <c r="K136" s="18">
        <v>0</v>
      </c>
      <c r="L136" s="18">
        <v>0</v>
      </c>
      <c r="M136" s="18">
        <v>4.4000000000000004</v>
      </c>
      <c r="N136" s="18">
        <v>0</v>
      </c>
      <c r="O136" s="18">
        <v>527300.13</v>
      </c>
      <c r="P136" s="18">
        <v>84197.87</v>
      </c>
      <c r="Q136" s="18">
        <v>0</v>
      </c>
      <c r="R136" s="28">
        <f t="shared" si="6"/>
        <v>11.160189609767519</v>
      </c>
      <c r="S136" s="28">
        <f t="shared" si="7"/>
        <v>13.175525172057503</v>
      </c>
      <c r="T136" s="28">
        <f t="shared" si="8"/>
        <v>8.0205991498969702</v>
      </c>
    </row>
    <row r="137" spans="1:20">
      <c r="A137" s="20" t="s">
        <v>56</v>
      </c>
      <c r="B137" s="21">
        <v>45689</v>
      </c>
      <c r="C137" s="20" t="s">
        <v>21</v>
      </c>
      <c r="D137" s="20" t="s">
        <v>19</v>
      </c>
      <c r="E137" s="22">
        <v>22071.64</v>
      </c>
      <c r="F137" s="22">
        <v>1814</v>
      </c>
      <c r="G137" s="23">
        <v>0.19600000000000001</v>
      </c>
      <c r="H137" s="22">
        <v>8</v>
      </c>
      <c r="I137" s="22">
        <v>81.099999999999994</v>
      </c>
      <c r="J137" s="29">
        <v>0.78</v>
      </c>
      <c r="K137" s="22">
        <v>0</v>
      </c>
      <c r="L137" s="22">
        <v>0</v>
      </c>
      <c r="M137" s="22">
        <v>3.9</v>
      </c>
      <c r="N137" s="31">
        <v>1</v>
      </c>
      <c r="O137" s="22">
        <v>400831.65</v>
      </c>
      <c r="P137" s="22">
        <v>70979.31</v>
      </c>
      <c r="Q137" s="22">
        <v>0</v>
      </c>
      <c r="R137" s="29">
        <f t="shared" si="6"/>
        <v>10.002048805506769</v>
      </c>
      <c r="S137" s="29">
        <f t="shared" si="7"/>
        <v>12.901296792700926</v>
      </c>
      <c r="T137" s="29">
        <f t="shared" si="8"/>
        <v>7.5032896306750816</v>
      </c>
    </row>
    <row r="138" spans="1:20">
      <c r="A138" s="16" t="s">
        <v>56</v>
      </c>
      <c r="B138" s="17">
        <v>45717</v>
      </c>
      <c r="C138" s="16" t="s">
        <v>21</v>
      </c>
      <c r="D138" s="16" t="s">
        <v>19</v>
      </c>
      <c r="E138" s="18">
        <v>52285.45</v>
      </c>
      <c r="F138" s="18">
        <v>3618</v>
      </c>
      <c r="G138" s="19">
        <v>8.5999999999999993E-2</v>
      </c>
      <c r="H138" s="18">
        <v>11</v>
      </c>
      <c r="I138" s="18">
        <v>95.6</v>
      </c>
      <c r="J138" s="28">
        <v>5.17</v>
      </c>
      <c r="K138" s="18">
        <v>0</v>
      </c>
      <c r="L138" s="18">
        <v>1</v>
      </c>
      <c r="M138" s="18">
        <v>4.4000000000000004</v>
      </c>
      <c r="N138" s="18">
        <v>0</v>
      </c>
      <c r="O138" s="18">
        <v>593247.25</v>
      </c>
      <c r="P138" s="18">
        <v>81240.289999999994</v>
      </c>
      <c r="Q138" s="18">
        <v>0</v>
      </c>
      <c r="R138" s="28">
        <f t="shared" si="6"/>
        <v>10.864473408670607</v>
      </c>
      <c r="S138" s="28">
        <f t="shared" si="7"/>
        <v>13.293366538804754</v>
      </c>
      <c r="T138" s="28">
        <f t="shared" si="8"/>
        <v>8.1936766659552411</v>
      </c>
    </row>
    <row r="139" spans="1:20">
      <c r="A139" s="20" t="s">
        <v>56</v>
      </c>
      <c r="B139" s="21">
        <v>45748</v>
      </c>
      <c r="C139" s="20" t="s">
        <v>21</v>
      </c>
      <c r="D139" s="20" t="s">
        <v>19</v>
      </c>
      <c r="E139" s="22">
        <v>70366.759999999995</v>
      </c>
      <c r="F139" s="22">
        <v>1963</v>
      </c>
      <c r="G139" s="23">
        <v>0.182</v>
      </c>
      <c r="H139" s="22">
        <v>8</v>
      </c>
      <c r="I139" s="22">
        <v>89.8</v>
      </c>
      <c r="J139" s="29">
        <v>3.2</v>
      </c>
      <c r="K139" s="22">
        <v>0</v>
      </c>
      <c r="L139" s="22">
        <v>0</v>
      </c>
      <c r="M139" s="22">
        <v>4.5999999999999996</v>
      </c>
      <c r="N139" s="22">
        <v>0</v>
      </c>
      <c r="O139" s="22">
        <v>529075.94999999995</v>
      </c>
      <c r="P139" s="22">
        <v>95978.83</v>
      </c>
      <c r="Q139" s="22">
        <v>0</v>
      </c>
      <c r="R139" s="29">
        <f t="shared" si="6"/>
        <v>11.161476271553022</v>
      </c>
      <c r="S139" s="29">
        <f t="shared" si="7"/>
        <v>13.178887273313679</v>
      </c>
      <c r="T139" s="29">
        <f t="shared" si="8"/>
        <v>7.5822291942764615</v>
      </c>
    </row>
    <row r="140" spans="1:20">
      <c r="A140" s="16" t="s">
        <v>57</v>
      </c>
      <c r="B140" s="17">
        <v>45658</v>
      </c>
      <c r="C140" s="16" t="s">
        <v>25</v>
      </c>
      <c r="D140" s="16" t="s">
        <v>17</v>
      </c>
      <c r="E140" s="18">
        <v>71320.66</v>
      </c>
      <c r="F140" s="18">
        <v>7888</v>
      </c>
      <c r="G140" s="19">
        <v>4.8000000000000001E-2</v>
      </c>
      <c r="H140" s="18">
        <v>20</v>
      </c>
      <c r="I140" s="18">
        <v>78.099999999999994</v>
      </c>
      <c r="J140" s="28">
        <v>3.4</v>
      </c>
      <c r="K140" s="18">
        <v>0</v>
      </c>
      <c r="L140" s="18">
        <v>0</v>
      </c>
      <c r="M140" s="18">
        <v>4</v>
      </c>
      <c r="N140" s="31">
        <v>1</v>
      </c>
      <c r="O140" s="18">
        <v>633638.03</v>
      </c>
      <c r="P140" s="18">
        <v>99402.01</v>
      </c>
      <c r="Q140" s="18">
        <v>0</v>
      </c>
      <c r="R140" s="28">
        <f t="shared" si="6"/>
        <v>11.17494132600044</v>
      </c>
      <c r="S140" s="28">
        <f t="shared" si="7"/>
        <v>13.359233139777059</v>
      </c>
      <c r="T140" s="28">
        <f t="shared" si="8"/>
        <v>8.9730978962824715</v>
      </c>
    </row>
    <row r="141" spans="1:20">
      <c r="A141" s="20" t="s">
        <v>57</v>
      </c>
      <c r="B141" s="21">
        <v>45689</v>
      </c>
      <c r="C141" s="20" t="s">
        <v>25</v>
      </c>
      <c r="D141" s="20" t="s">
        <v>17</v>
      </c>
      <c r="E141" s="22">
        <v>75109.67</v>
      </c>
      <c r="F141" s="22">
        <v>6244</v>
      </c>
      <c r="G141" s="23">
        <v>7.9000000000000001E-2</v>
      </c>
      <c r="H141" s="22">
        <v>15</v>
      </c>
      <c r="I141" s="22">
        <v>96.3</v>
      </c>
      <c r="J141" s="29">
        <v>7.38</v>
      </c>
      <c r="K141" s="22">
        <v>0</v>
      </c>
      <c r="L141" s="22">
        <v>0</v>
      </c>
      <c r="M141" s="22">
        <v>3.7</v>
      </c>
      <c r="N141" s="22">
        <v>0</v>
      </c>
      <c r="O141" s="22">
        <v>743348.84</v>
      </c>
      <c r="P141" s="22">
        <v>104186.09</v>
      </c>
      <c r="Q141" s="22">
        <v>0</v>
      </c>
      <c r="R141" s="29">
        <f t="shared" si="6"/>
        <v>11.226704591114288</v>
      </c>
      <c r="S141" s="29">
        <f t="shared" si="7"/>
        <v>13.518920715537151</v>
      </c>
      <c r="T141" s="29">
        <f t="shared" si="8"/>
        <v>8.7393762816353231</v>
      </c>
    </row>
    <row r="142" spans="1:20">
      <c r="A142" s="16" t="s">
        <v>57</v>
      </c>
      <c r="B142" s="17">
        <v>45717</v>
      </c>
      <c r="C142" s="16" t="s">
        <v>25</v>
      </c>
      <c r="D142" s="16" t="s">
        <v>17</v>
      </c>
      <c r="E142" s="18">
        <v>69779</v>
      </c>
      <c r="F142" s="18">
        <v>6544</v>
      </c>
      <c r="G142" s="19">
        <v>0.152</v>
      </c>
      <c r="H142" s="18">
        <v>18</v>
      </c>
      <c r="I142" s="18">
        <v>90.2</v>
      </c>
      <c r="J142" s="28">
        <v>0.85</v>
      </c>
      <c r="K142" s="18">
        <v>0</v>
      </c>
      <c r="L142" s="18">
        <v>1</v>
      </c>
      <c r="M142" s="18">
        <v>3.3</v>
      </c>
      <c r="N142" s="18">
        <v>0</v>
      </c>
      <c r="O142" s="18">
        <v>758827.64</v>
      </c>
      <c r="P142" s="18">
        <v>161439.48000000001</v>
      </c>
      <c r="Q142" s="18">
        <v>0</v>
      </c>
      <c r="R142" s="28">
        <f t="shared" si="6"/>
        <v>11.153088383884281</v>
      </c>
      <c r="S142" s="28">
        <f t="shared" si="7"/>
        <v>13.539529942315276</v>
      </c>
      <c r="T142" s="28">
        <f t="shared" si="8"/>
        <v>8.7863038782825829</v>
      </c>
    </row>
    <row r="143" spans="1:20">
      <c r="A143" s="20" t="s">
        <v>57</v>
      </c>
      <c r="B143" s="21">
        <v>45748</v>
      </c>
      <c r="C143" s="20" t="s">
        <v>25</v>
      </c>
      <c r="D143" s="20" t="s">
        <v>17</v>
      </c>
      <c r="E143" s="22">
        <v>44211.95</v>
      </c>
      <c r="F143" s="22">
        <v>5465</v>
      </c>
      <c r="G143" s="23">
        <v>0.187</v>
      </c>
      <c r="H143" s="22">
        <v>12</v>
      </c>
      <c r="I143" s="22">
        <v>90</v>
      </c>
      <c r="J143" s="29">
        <v>2.89</v>
      </c>
      <c r="K143" s="22">
        <v>0</v>
      </c>
      <c r="L143" s="22">
        <v>0</v>
      </c>
      <c r="M143" s="22">
        <v>3.6</v>
      </c>
      <c r="N143" s="22">
        <v>0</v>
      </c>
      <c r="O143" s="22">
        <v>646559.71</v>
      </c>
      <c r="P143" s="22">
        <v>97981.75</v>
      </c>
      <c r="Q143" s="22">
        <v>0</v>
      </c>
      <c r="R143" s="29">
        <f t="shared" si="6"/>
        <v>10.696750393515522</v>
      </c>
      <c r="S143" s="29">
        <f t="shared" si="7"/>
        <v>13.379420831784607</v>
      </c>
      <c r="T143" s="29">
        <f t="shared" si="8"/>
        <v>8.6061194006106394</v>
      </c>
    </row>
    <row r="144" spans="1:20">
      <c r="A144" s="16" t="s">
        <v>58</v>
      </c>
      <c r="B144" s="17">
        <v>45658</v>
      </c>
      <c r="C144" s="16" t="s">
        <v>28</v>
      </c>
      <c r="D144" s="16" t="s">
        <v>19</v>
      </c>
      <c r="E144" s="18">
        <v>51430.31</v>
      </c>
      <c r="F144" s="18">
        <v>6427</v>
      </c>
      <c r="G144" s="19">
        <v>0.23400000000000001</v>
      </c>
      <c r="H144" s="18">
        <v>14</v>
      </c>
      <c r="I144" s="18">
        <v>88.8</v>
      </c>
      <c r="J144" s="28">
        <v>0.77</v>
      </c>
      <c r="K144" s="18">
        <v>0</v>
      </c>
      <c r="L144" s="18">
        <v>0</v>
      </c>
      <c r="M144" s="18">
        <v>4.0999999999999996</v>
      </c>
      <c r="N144" s="18">
        <v>0</v>
      </c>
      <c r="O144" s="18">
        <v>715890.53</v>
      </c>
      <c r="P144" s="18">
        <v>109032.15</v>
      </c>
      <c r="Q144" s="18">
        <v>0</v>
      </c>
      <c r="R144" s="28">
        <f t="shared" si="6"/>
        <v>10.84798296636114</v>
      </c>
      <c r="S144" s="28">
        <f t="shared" si="7"/>
        <v>13.4812825431923</v>
      </c>
      <c r="T144" s="28">
        <f t="shared" si="8"/>
        <v>8.7682631453712858</v>
      </c>
    </row>
    <row r="145" spans="1:20">
      <c r="A145" s="20" t="s">
        <v>58</v>
      </c>
      <c r="B145" s="21">
        <v>45689</v>
      </c>
      <c r="C145" s="20" t="s">
        <v>28</v>
      </c>
      <c r="D145" s="20" t="s">
        <v>19</v>
      </c>
      <c r="E145" s="22">
        <v>45706.49</v>
      </c>
      <c r="F145" s="22">
        <v>6704</v>
      </c>
      <c r="G145" s="23">
        <v>3.7999999999999999E-2</v>
      </c>
      <c r="H145" s="22">
        <v>15</v>
      </c>
      <c r="I145" s="22">
        <v>94.2</v>
      </c>
      <c r="J145" s="29">
        <v>2.92</v>
      </c>
      <c r="K145" s="22">
        <v>0</v>
      </c>
      <c r="L145" s="22">
        <v>0</v>
      </c>
      <c r="M145" s="22">
        <v>4.2</v>
      </c>
      <c r="N145" s="22">
        <v>0</v>
      </c>
      <c r="O145" s="22">
        <v>715097.57</v>
      </c>
      <c r="P145" s="22">
        <v>151875.85999999999</v>
      </c>
      <c r="Q145" s="22">
        <v>0</v>
      </c>
      <c r="R145" s="29">
        <f t="shared" si="6"/>
        <v>10.72999557992849</v>
      </c>
      <c r="S145" s="29">
        <f t="shared" si="7"/>
        <v>13.480174273904577</v>
      </c>
      <c r="T145" s="29">
        <f t="shared" si="8"/>
        <v>8.8104596421619181</v>
      </c>
    </row>
    <row r="146" spans="1:20">
      <c r="A146" s="16" t="s">
        <v>58</v>
      </c>
      <c r="B146" s="17">
        <v>45717</v>
      </c>
      <c r="C146" s="16" t="s">
        <v>28</v>
      </c>
      <c r="D146" s="16" t="s">
        <v>19</v>
      </c>
      <c r="E146" s="18">
        <v>44034.6</v>
      </c>
      <c r="F146" s="18">
        <v>5645</v>
      </c>
      <c r="G146" s="19">
        <v>6.9000000000000006E-2</v>
      </c>
      <c r="H146" s="18">
        <v>18</v>
      </c>
      <c r="I146" s="18">
        <v>88.5</v>
      </c>
      <c r="J146" s="28">
        <v>3.07</v>
      </c>
      <c r="K146" s="18">
        <v>0</v>
      </c>
      <c r="L146" s="18">
        <v>0</v>
      </c>
      <c r="M146" s="18">
        <v>3.8</v>
      </c>
      <c r="N146" s="18">
        <v>0</v>
      </c>
      <c r="O146" s="18">
        <v>682639.28</v>
      </c>
      <c r="P146" s="18">
        <v>77557.53</v>
      </c>
      <c r="Q146" s="18">
        <v>0</v>
      </c>
      <c r="R146" s="28">
        <f t="shared" si="6"/>
        <v>10.692730967514869</v>
      </c>
      <c r="S146" s="28">
        <f t="shared" si="7"/>
        <v>13.43372185848121</v>
      </c>
      <c r="T146" s="28">
        <f t="shared" si="8"/>
        <v>8.6385254765837622</v>
      </c>
    </row>
    <row r="147" spans="1:20">
      <c r="A147" s="20" t="s">
        <v>58</v>
      </c>
      <c r="B147" s="21">
        <v>45748</v>
      </c>
      <c r="C147" s="20" t="s">
        <v>28</v>
      </c>
      <c r="D147" s="20" t="s">
        <v>19</v>
      </c>
      <c r="E147" s="22">
        <v>50198.12</v>
      </c>
      <c r="F147" s="22">
        <v>6089</v>
      </c>
      <c r="G147" s="23">
        <v>0.182</v>
      </c>
      <c r="H147" s="22">
        <v>19</v>
      </c>
      <c r="I147" s="22">
        <v>94</v>
      </c>
      <c r="J147" s="29">
        <v>9.6999999999999993</v>
      </c>
      <c r="K147" s="22">
        <v>0</v>
      </c>
      <c r="L147" s="22">
        <v>0</v>
      </c>
      <c r="M147" s="22">
        <v>3.9</v>
      </c>
      <c r="N147" s="22">
        <v>0</v>
      </c>
      <c r="O147" s="22">
        <v>695098.51</v>
      </c>
      <c r="P147" s="22">
        <v>108192.75</v>
      </c>
      <c r="Q147" s="22">
        <v>0</v>
      </c>
      <c r="R147" s="29">
        <f t="shared" si="6"/>
        <v>10.82373285477934</v>
      </c>
      <c r="S147" s="29">
        <f t="shared" si="7"/>
        <v>13.451808855509816</v>
      </c>
      <c r="T147" s="29">
        <f t="shared" si="8"/>
        <v>8.7142391436085749</v>
      </c>
    </row>
    <row r="148" spans="1:20">
      <c r="A148" s="16" t="s">
        <v>59</v>
      </c>
      <c r="B148" s="17">
        <v>45658</v>
      </c>
      <c r="C148" s="16" t="s">
        <v>21</v>
      </c>
      <c r="D148" s="16" t="s">
        <v>17</v>
      </c>
      <c r="E148" s="18">
        <v>70488.2</v>
      </c>
      <c r="F148" s="18">
        <v>4312</v>
      </c>
      <c r="G148" s="19">
        <v>0.16900000000000001</v>
      </c>
      <c r="H148" s="18">
        <v>12</v>
      </c>
      <c r="I148" s="18">
        <v>90.2</v>
      </c>
      <c r="J148" s="28">
        <v>3.71</v>
      </c>
      <c r="K148" s="18">
        <v>0</v>
      </c>
      <c r="L148" s="18">
        <v>0</v>
      </c>
      <c r="M148" s="18">
        <v>3.2</v>
      </c>
      <c r="N148" s="18">
        <v>0</v>
      </c>
      <c r="O148" s="18">
        <v>577732.56999999995</v>
      </c>
      <c r="P148" s="18">
        <v>93804.27</v>
      </c>
      <c r="Q148" s="18">
        <v>0</v>
      </c>
      <c r="R148" s="28">
        <f t="shared" si="6"/>
        <v>11.163200598904929</v>
      </c>
      <c r="S148" s="28">
        <f t="shared" si="7"/>
        <v>13.266866358923428</v>
      </c>
      <c r="T148" s="28">
        <f t="shared" si="8"/>
        <v>8.3691571125888338</v>
      </c>
    </row>
    <row r="149" spans="1:20">
      <c r="A149" s="20" t="s">
        <v>59</v>
      </c>
      <c r="B149" s="21">
        <v>45689</v>
      </c>
      <c r="C149" s="20" t="s">
        <v>21</v>
      </c>
      <c r="D149" s="20" t="s">
        <v>17</v>
      </c>
      <c r="E149" s="22">
        <v>50909.27</v>
      </c>
      <c r="F149" s="22">
        <v>3152</v>
      </c>
      <c r="G149" s="23">
        <v>0.06</v>
      </c>
      <c r="H149" s="22">
        <v>13</v>
      </c>
      <c r="I149" s="22">
        <v>93.7</v>
      </c>
      <c r="J149" s="29">
        <v>10.79</v>
      </c>
      <c r="K149" s="22">
        <v>0</v>
      </c>
      <c r="L149" s="22">
        <v>0</v>
      </c>
      <c r="M149" s="22">
        <v>3.5</v>
      </c>
      <c r="N149" s="22">
        <v>0</v>
      </c>
      <c r="O149" s="22">
        <v>537058.32999999996</v>
      </c>
      <c r="P149" s="22">
        <v>93555.71</v>
      </c>
      <c r="Q149" s="22">
        <v>0</v>
      </c>
      <c r="R149" s="29">
        <f t="shared" si="6"/>
        <v>10.837800307763917</v>
      </c>
      <c r="S149" s="29">
        <f t="shared" si="7"/>
        <v>13.193861989565992</v>
      </c>
      <c r="T149" s="29">
        <f t="shared" si="8"/>
        <v>8.0557924509777692</v>
      </c>
    </row>
    <row r="150" spans="1:20">
      <c r="A150" s="16" t="s">
        <v>59</v>
      </c>
      <c r="B150" s="17">
        <v>45717</v>
      </c>
      <c r="C150" s="16" t="s">
        <v>21</v>
      </c>
      <c r="D150" s="16" t="s">
        <v>17</v>
      </c>
      <c r="E150" s="18">
        <v>53351.7</v>
      </c>
      <c r="F150" s="18">
        <v>4259</v>
      </c>
      <c r="G150" s="19">
        <v>0.156</v>
      </c>
      <c r="H150" s="18">
        <v>15</v>
      </c>
      <c r="I150" s="18">
        <v>93.7</v>
      </c>
      <c r="J150" s="28">
        <v>6.03</v>
      </c>
      <c r="K150" s="18">
        <v>0</v>
      </c>
      <c r="L150" s="18">
        <v>0</v>
      </c>
      <c r="M150" s="18">
        <v>3.4</v>
      </c>
      <c r="N150" s="18">
        <v>0</v>
      </c>
      <c r="O150" s="18">
        <v>601568.87</v>
      </c>
      <c r="P150" s="18">
        <v>91634.82</v>
      </c>
      <c r="Q150" s="18">
        <v>0</v>
      </c>
      <c r="R150" s="28">
        <f t="shared" si="6"/>
        <v>10.884661121264394</v>
      </c>
      <c r="S150" s="28">
        <f t="shared" si="7"/>
        <v>13.307296304933185</v>
      </c>
      <c r="T150" s="28">
        <f t="shared" si="8"/>
        <v>8.3567896699232129</v>
      </c>
    </row>
    <row r="151" spans="1:20">
      <c r="A151" s="20" t="s">
        <v>59</v>
      </c>
      <c r="B151" s="21">
        <v>45748</v>
      </c>
      <c r="C151" s="20" t="s">
        <v>21</v>
      </c>
      <c r="D151" s="20" t="s">
        <v>17</v>
      </c>
      <c r="E151" s="22">
        <v>60322.400000000001</v>
      </c>
      <c r="F151" s="22">
        <v>3350</v>
      </c>
      <c r="G151" s="23">
        <v>0.108</v>
      </c>
      <c r="H151" s="22">
        <v>12</v>
      </c>
      <c r="I151" s="22">
        <v>89.4</v>
      </c>
      <c r="J151" s="29">
        <v>4.92</v>
      </c>
      <c r="K151" s="22">
        <v>0</v>
      </c>
      <c r="L151" s="22">
        <v>0</v>
      </c>
      <c r="M151" s="22">
        <v>3.4</v>
      </c>
      <c r="N151" s="22">
        <v>0</v>
      </c>
      <c r="O151" s="22">
        <v>570964.84</v>
      </c>
      <c r="P151" s="22">
        <v>81331.070000000007</v>
      </c>
      <c r="Q151" s="22">
        <v>0</v>
      </c>
      <c r="R151" s="29">
        <f t="shared" si="6"/>
        <v>11.007458789688732</v>
      </c>
      <c r="S151" s="29">
        <f t="shared" si="7"/>
        <v>13.25508291056012</v>
      </c>
      <c r="T151" s="29">
        <f t="shared" si="8"/>
        <v>8.1167156248191112</v>
      </c>
    </row>
    <row r="152" spans="1:20">
      <c r="A152" s="16" t="s">
        <v>60</v>
      </c>
      <c r="B152" s="17">
        <v>45658</v>
      </c>
      <c r="C152" s="16" t="s">
        <v>25</v>
      </c>
      <c r="D152" s="16" t="s">
        <v>29</v>
      </c>
      <c r="E152" s="18">
        <v>51575.68</v>
      </c>
      <c r="F152" s="18">
        <v>5329</v>
      </c>
      <c r="G152" s="19">
        <v>4.7E-2</v>
      </c>
      <c r="H152" s="18">
        <v>17</v>
      </c>
      <c r="I152" s="18">
        <v>88.1</v>
      </c>
      <c r="J152" s="28">
        <v>19.78</v>
      </c>
      <c r="K152" s="18">
        <v>0</v>
      </c>
      <c r="L152" s="18">
        <v>0</v>
      </c>
      <c r="M152" s="18">
        <v>3.8</v>
      </c>
      <c r="N152" s="18">
        <v>0</v>
      </c>
      <c r="O152" s="18">
        <v>614024.91</v>
      </c>
      <c r="P152" s="18">
        <v>84828.93</v>
      </c>
      <c r="Q152" s="18">
        <v>0</v>
      </c>
      <c r="R152" s="28">
        <f t="shared" si="6"/>
        <v>10.850805522535037</v>
      </c>
      <c r="S152" s="28">
        <f t="shared" si="7"/>
        <v>13.327790776338912</v>
      </c>
      <c r="T152" s="28">
        <f t="shared" si="8"/>
        <v>8.5809188822967819</v>
      </c>
    </row>
    <row r="153" spans="1:20">
      <c r="A153" s="20" t="s">
        <v>60</v>
      </c>
      <c r="B153" s="21">
        <v>45689</v>
      </c>
      <c r="C153" s="20" t="s">
        <v>25</v>
      </c>
      <c r="D153" s="20" t="s">
        <v>29</v>
      </c>
      <c r="E153" s="22">
        <v>43319.94</v>
      </c>
      <c r="F153" s="22">
        <v>6551</v>
      </c>
      <c r="G153" s="23">
        <v>4.3999999999999997E-2</v>
      </c>
      <c r="H153" s="22">
        <v>13</v>
      </c>
      <c r="I153" s="22">
        <v>99</v>
      </c>
      <c r="J153" s="29">
        <v>5.45</v>
      </c>
      <c r="K153" s="22">
        <v>0</v>
      </c>
      <c r="L153" s="22">
        <v>0</v>
      </c>
      <c r="M153" s="22">
        <v>4.0999999999999996</v>
      </c>
      <c r="N153" s="22">
        <v>0</v>
      </c>
      <c r="O153" s="22">
        <v>712868.35</v>
      </c>
      <c r="P153" s="22">
        <v>133650.51</v>
      </c>
      <c r="Q153" s="22">
        <v>0</v>
      </c>
      <c r="R153" s="29">
        <f t="shared" si="6"/>
        <v>10.676368316072416</v>
      </c>
      <c r="S153" s="29">
        <f t="shared" si="7"/>
        <v>13.477052039991694</v>
      </c>
      <c r="T153" s="29">
        <f t="shared" si="8"/>
        <v>8.7873729887318763</v>
      </c>
    </row>
    <row r="154" spans="1:20">
      <c r="A154" s="16" t="s">
        <v>60</v>
      </c>
      <c r="B154" s="17">
        <v>45717</v>
      </c>
      <c r="C154" s="16" t="s">
        <v>25</v>
      </c>
      <c r="D154" s="16" t="s">
        <v>29</v>
      </c>
      <c r="E154" s="18">
        <v>47093.55</v>
      </c>
      <c r="F154" s="18">
        <v>5550</v>
      </c>
      <c r="G154" s="19">
        <v>0.1</v>
      </c>
      <c r="H154" s="18">
        <v>12</v>
      </c>
      <c r="I154" s="18">
        <v>95</v>
      </c>
      <c r="J154" s="28">
        <v>2.33</v>
      </c>
      <c r="K154" s="18">
        <v>0</v>
      </c>
      <c r="L154" s="18">
        <v>1</v>
      </c>
      <c r="M154" s="18">
        <v>3.7</v>
      </c>
      <c r="N154" s="18">
        <v>0</v>
      </c>
      <c r="O154" s="18">
        <v>696744.15</v>
      </c>
      <c r="P154" s="18">
        <v>152230.09</v>
      </c>
      <c r="Q154" s="18">
        <v>0</v>
      </c>
      <c r="R154" s="28">
        <f t="shared" si="6"/>
        <v>10.759891327951845</v>
      </c>
      <c r="S154" s="28">
        <f t="shared" si="7"/>
        <v>13.454173549184082</v>
      </c>
      <c r="T154" s="28">
        <f t="shared" si="8"/>
        <v>8.6215532067404794</v>
      </c>
    </row>
    <row r="155" spans="1:20">
      <c r="A155" s="20" t="s">
        <v>60</v>
      </c>
      <c r="B155" s="21">
        <v>45748</v>
      </c>
      <c r="C155" s="20" t="s">
        <v>25</v>
      </c>
      <c r="D155" s="20" t="s">
        <v>29</v>
      </c>
      <c r="E155" s="22">
        <v>71855.09</v>
      </c>
      <c r="F155" s="22">
        <v>5911</v>
      </c>
      <c r="G155" s="23">
        <v>0.19700000000000001</v>
      </c>
      <c r="H155" s="22">
        <v>15</v>
      </c>
      <c r="I155" s="22">
        <v>94.3</v>
      </c>
      <c r="J155" s="29">
        <v>3.55</v>
      </c>
      <c r="K155" s="22">
        <v>0</v>
      </c>
      <c r="L155" s="22">
        <v>0</v>
      </c>
      <c r="M155" s="22">
        <v>4.0999999999999996</v>
      </c>
      <c r="N155" s="22">
        <v>0</v>
      </c>
      <c r="O155" s="22">
        <v>725847.99</v>
      </c>
      <c r="P155" s="22">
        <v>122698.73</v>
      </c>
      <c r="Q155" s="22">
        <v>0</v>
      </c>
      <c r="R155" s="29">
        <f t="shared" si="6"/>
        <v>11.182406731030003</v>
      </c>
      <c r="S155" s="29">
        <f t="shared" si="7"/>
        <v>13.495095891718558</v>
      </c>
      <c r="T155" s="29">
        <f t="shared" si="8"/>
        <v>8.6845703008243689</v>
      </c>
    </row>
    <row r="156" spans="1:20">
      <c r="A156" s="16" t="s">
        <v>61</v>
      </c>
      <c r="B156" s="17">
        <v>45658</v>
      </c>
      <c r="C156" s="16" t="s">
        <v>16</v>
      </c>
      <c r="D156" s="16" t="s">
        <v>19</v>
      </c>
      <c r="E156" s="18">
        <v>75645.23</v>
      </c>
      <c r="F156" s="18">
        <v>9674</v>
      </c>
      <c r="G156" s="19">
        <v>0.23400000000000001</v>
      </c>
      <c r="H156" s="18">
        <v>21</v>
      </c>
      <c r="I156" s="18">
        <v>87.4</v>
      </c>
      <c r="J156" s="28">
        <v>0.2</v>
      </c>
      <c r="K156" s="18">
        <v>0</v>
      </c>
      <c r="L156" s="18">
        <v>0</v>
      </c>
      <c r="M156" s="18">
        <v>4.5</v>
      </c>
      <c r="N156" s="18">
        <v>0</v>
      </c>
      <c r="O156" s="18">
        <v>785028.25</v>
      </c>
      <c r="P156" s="18">
        <v>110726.44</v>
      </c>
      <c r="Q156" s="18">
        <v>0</v>
      </c>
      <c r="R156" s="28">
        <f t="shared" si="6"/>
        <v>11.233809663692522</v>
      </c>
      <c r="S156" s="28">
        <f t="shared" si="7"/>
        <v>13.573474983378166</v>
      </c>
      <c r="T156" s="28">
        <f t="shared" si="8"/>
        <v>9.1771971533829291</v>
      </c>
    </row>
    <row r="157" spans="1:20">
      <c r="A157" s="20" t="s">
        <v>61</v>
      </c>
      <c r="B157" s="21">
        <v>45689</v>
      </c>
      <c r="C157" s="20" t="s">
        <v>16</v>
      </c>
      <c r="D157" s="20" t="s">
        <v>19</v>
      </c>
      <c r="E157" s="22">
        <v>64374.75</v>
      </c>
      <c r="F157" s="22">
        <v>6740</v>
      </c>
      <c r="G157" s="23">
        <v>0.16900000000000001</v>
      </c>
      <c r="H157" s="22">
        <v>18</v>
      </c>
      <c r="I157" s="22">
        <v>87</v>
      </c>
      <c r="J157" s="29">
        <v>2.09</v>
      </c>
      <c r="K157" s="22">
        <v>0</v>
      </c>
      <c r="L157" s="22">
        <v>0</v>
      </c>
      <c r="M157" s="22">
        <v>4.2</v>
      </c>
      <c r="N157" s="22">
        <v>0</v>
      </c>
      <c r="O157" s="22">
        <v>698492.67</v>
      </c>
      <c r="P157" s="22">
        <v>117319.32</v>
      </c>
      <c r="Q157" s="22">
        <v>0</v>
      </c>
      <c r="R157" s="29">
        <f t="shared" si="6"/>
        <v>11.07247675446335</v>
      </c>
      <c r="S157" s="29">
        <f t="shared" si="7"/>
        <v>13.456679963708559</v>
      </c>
      <c r="T157" s="29">
        <f t="shared" si="8"/>
        <v>8.815815203906352</v>
      </c>
    </row>
    <row r="158" spans="1:20">
      <c r="A158" s="16" t="s">
        <v>61</v>
      </c>
      <c r="B158" s="17">
        <v>45717</v>
      </c>
      <c r="C158" s="16" t="s">
        <v>16</v>
      </c>
      <c r="D158" s="16" t="s">
        <v>19</v>
      </c>
      <c r="E158" s="18">
        <v>61433.84</v>
      </c>
      <c r="F158" s="18">
        <v>7745</v>
      </c>
      <c r="G158" s="19">
        <v>0.18</v>
      </c>
      <c r="H158" s="18">
        <v>16</v>
      </c>
      <c r="I158" s="18">
        <v>90.5</v>
      </c>
      <c r="J158" s="28">
        <v>2.2599999999999998</v>
      </c>
      <c r="K158" s="18">
        <v>0</v>
      </c>
      <c r="L158" s="18">
        <v>0</v>
      </c>
      <c r="M158" s="18">
        <v>4.2</v>
      </c>
      <c r="N158" s="18">
        <v>0</v>
      </c>
      <c r="O158" s="18">
        <v>685830.24</v>
      </c>
      <c r="P158" s="18">
        <v>128736.18</v>
      </c>
      <c r="Q158" s="18">
        <v>0</v>
      </c>
      <c r="R158" s="28">
        <f t="shared" si="6"/>
        <v>11.025716102378475</v>
      </c>
      <c r="S158" s="28">
        <f t="shared" si="7"/>
        <v>13.438385412527012</v>
      </c>
      <c r="T158" s="28">
        <f t="shared" si="8"/>
        <v>8.9548027528509682</v>
      </c>
    </row>
    <row r="159" spans="1:20">
      <c r="A159" s="20" t="s">
        <v>61</v>
      </c>
      <c r="B159" s="21">
        <v>45748</v>
      </c>
      <c r="C159" s="20" t="s">
        <v>16</v>
      </c>
      <c r="D159" s="20" t="s">
        <v>19</v>
      </c>
      <c r="E159" s="22">
        <v>42698.14</v>
      </c>
      <c r="F159" s="22">
        <v>7693</v>
      </c>
      <c r="G159" s="23">
        <v>0.187</v>
      </c>
      <c r="H159" s="22">
        <v>19</v>
      </c>
      <c r="I159" s="22">
        <v>90.1</v>
      </c>
      <c r="J159" s="29">
        <v>0.44</v>
      </c>
      <c r="K159" s="22">
        <v>0</v>
      </c>
      <c r="L159" s="22">
        <v>0</v>
      </c>
      <c r="M159" s="22">
        <v>4.4000000000000004</v>
      </c>
      <c r="N159" s="22">
        <v>0</v>
      </c>
      <c r="O159" s="22">
        <v>702318.94</v>
      </c>
      <c r="P159" s="22">
        <v>112829.29</v>
      </c>
      <c r="Q159" s="22">
        <v>0</v>
      </c>
      <c r="R159" s="29">
        <f t="shared" si="6"/>
        <v>10.661910638548994</v>
      </c>
      <c r="S159" s="29">
        <f t="shared" si="7"/>
        <v>13.462142910315434</v>
      </c>
      <c r="T159" s="29">
        <f t="shared" si="8"/>
        <v>8.9480661034589346</v>
      </c>
    </row>
    <row r="160" spans="1:20">
      <c r="A160" s="16" t="s">
        <v>62</v>
      </c>
      <c r="B160" s="17">
        <v>45658</v>
      </c>
      <c r="C160" s="16" t="s">
        <v>21</v>
      </c>
      <c r="D160" s="16" t="s">
        <v>29</v>
      </c>
      <c r="E160" s="18">
        <v>86883.31</v>
      </c>
      <c r="F160" s="18">
        <v>6424</v>
      </c>
      <c r="G160" s="19">
        <v>5.7000000000000002E-2</v>
      </c>
      <c r="H160" s="18">
        <v>19</v>
      </c>
      <c r="I160" s="18">
        <v>85.2</v>
      </c>
      <c r="J160" s="28">
        <v>3.08</v>
      </c>
      <c r="K160" s="18">
        <v>0</v>
      </c>
      <c r="L160" s="18">
        <v>0</v>
      </c>
      <c r="M160" s="18">
        <v>3.9</v>
      </c>
      <c r="N160" s="18">
        <v>0</v>
      </c>
      <c r="O160" s="18">
        <v>700078.32</v>
      </c>
      <c r="P160" s="18">
        <v>123707.58</v>
      </c>
      <c r="Q160" s="18">
        <v>0</v>
      </c>
      <c r="R160" s="28">
        <f t="shared" si="6"/>
        <v>11.372321232968735</v>
      </c>
      <c r="S160" s="28">
        <f t="shared" si="7"/>
        <v>13.458947493481087</v>
      </c>
      <c r="T160" s="28">
        <f t="shared" si="8"/>
        <v>8.7677962556265978</v>
      </c>
    </row>
    <row r="161" spans="1:20">
      <c r="A161" s="20" t="s">
        <v>62</v>
      </c>
      <c r="B161" s="21">
        <v>45689</v>
      </c>
      <c r="C161" s="20" t="s">
        <v>21</v>
      </c>
      <c r="D161" s="20" t="s">
        <v>29</v>
      </c>
      <c r="E161" s="22">
        <v>41863.08</v>
      </c>
      <c r="F161" s="22">
        <v>5400</v>
      </c>
      <c r="G161" s="23">
        <v>0.114</v>
      </c>
      <c r="H161" s="22">
        <v>11</v>
      </c>
      <c r="I161" s="22">
        <v>91.6</v>
      </c>
      <c r="J161" s="29">
        <v>7.99</v>
      </c>
      <c r="K161" s="22">
        <v>0</v>
      </c>
      <c r="L161" s="22">
        <v>0</v>
      </c>
      <c r="M161" s="22">
        <v>3</v>
      </c>
      <c r="N161" s="22">
        <v>0</v>
      </c>
      <c r="O161" s="22">
        <v>602002.31999999995</v>
      </c>
      <c r="P161" s="22">
        <v>110453.28</v>
      </c>
      <c r="Q161" s="22">
        <v>0</v>
      </c>
      <c r="R161" s="29">
        <f t="shared" si="6"/>
        <v>10.642159571888536</v>
      </c>
      <c r="S161" s="29">
        <f t="shared" si="7"/>
        <v>13.30801657810413</v>
      </c>
      <c r="T161" s="29">
        <f t="shared" si="8"/>
        <v>8.5941542325523663</v>
      </c>
    </row>
    <row r="162" spans="1:20">
      <c r="A162" s="16" t="s">
        <v>62</v>
      </c>
      <c r="B162" s="17">
        <v>45717</v>
      </c>
      <c r="C162" s="16" t="s">
        <v>21</v>
      </c>
      <c r="D162" s="16" t="s">
        <v>29</v>
      </c>
      <c r="E162" s="18">
        <v>56918.16</v>
      </c>
      <c r="F162" s="18">
        <v>7015</v>
      </c>
      <c r="G162" s="19">
        <v>0.158</v>
      </c>
      <c r="H162" s="18">
        <v>18</v>
      </c>
      <c r="I162" s="18">
        <v>74.2</v>
      </c>
      <c r="J162" s="28">
        <v>0.2</v>
      </c>
      <c r="K162" s="18">
        <v>0</v>
      </c>
      <c r="L162" s="18">
        <v>0</v>
      </c>
      <c r="M162" s="18">
        <v>3.4</v>
      </c>
      <c r="N162" s="18">
        <v>0</v>
      </c>
      <c r="O162" s="18">
        <v>724216.07</v>
      </c>
      <c r="P162" s="18">
        <v>100627.56</v>
      </c>
      <c r="Q162" s="18">
        <v>0</v>
      </c>
      <c r="R162" s="28">
        <f t="shared" si="6"/>
        <v>10.949369725609611</v>
      </c>
      <c r="S162" s="28">
        <f t="shared" si="7"/>
        <v>13.492845066070245</v>
      </c>
      <c r="T162" s="28">
        <f t="shared" si="8"/>
        <v>8.8558059925365615</v>
      </c>
    </row>
    <row r="163" spans="1:20">
      <c r="A163" s="20" t="s">
        <v>62</v>
      </c>
      <c r="B163" s="21">
        <v>45748</v>
      </c>
      <c r="C163" s="20" t="s">
        <v>21</v>
      </c>
      <c r="D163" s="20" t="s">
        <v>29</v>
      </c>
      <c r="E163" s="22">
        <v>23254.57</v>
      </c>
      <c r="F163" s="22">
        <v>3847</v>
      </c>
      <c r="G163" s="23">
        <v>0.159</v>
      </c>
      <c r="H163" s="22">
        <v>12</v>
      </c>
      <c r="I163" s="22">
        <v>93</v>
      </c>
      <c r="J163" s="29">
        <v>5.46</v>
      </c>
      <c r="K163" s="22">
        <v>0</v>
      </c>
      <c r="L163" s="22">
        <v>0</v>
      </c>
      <c r="M163" s="22">
        <v>3.3</v>
      </c>
      <c r="N163" s="22">
        <v>0</v>
      </c>
      <c r="O163" s="22">
        <v>620973.03</v>
      </c>
      <c r="P163" s="22">
        <v>72303.850000000006</v>
      </c>
      <c r="Q163" s="22">
        <v>0</v>
      </c>
      <c r="R163" s="29">
        <f t="shared" si="6"/>
        <v>10.05425695084007</v>
      </c>
      <c r="S163" s="29">
        <f t="shared" si="7"/>
        <v>13.339042930020817</v>
      </c>
      <c r="T163" s="29">
        <f t="shared" si="8"/>
        <v>8.2550489027522946</v>
      </c>
    </row>
    <row r="164" spans="1:20">
      <c r="A164" s="16" t="s">
        <v>63</v>
      </c>
      <c r="B164" s="17">
        <v>45658</v>
      </c>
      <c r="C164" s="16" t="s">
        <v>25</v>
      </c>
      <c r="D164" s="16" t="s">
        <v>19</v>
      </c>
      <c r="E164" s="18">
        <v>41443.410000000003</v>
      </c>
      <c r="F164" s="18">
        <v>7455</v>
      </c>
      <c r="G164" s="19">
        <v>0.17499999999999999</v>
      </c>
      <c r="H164" s="18">
        <v>16</v>
      </c>
      <c r="I164" s="18">
        <v>90.1</v>
      </c>
      <c r="J164" s="28">
        <v>4.05</v>
      </c>
      <c r="K164" s="18">
        <v>0</v>
      </c>
      <c r="L164" s="18">
        <v>0</v>
      </c>
      <c r="M164" s="18">
        <v>4</v>
      </c>
      <c r="N164" s="18">
        <v>0</v>
      </c>
      <c r="O164" s="18">
        <v>650480.06000000006</v>
      </c>
      <c r="P164" s="18">
        <v>109012.07</v>
      </c>
      <c r="Q164" s="18">
        <v>0</v>
      </c>
      <c r="R164" s="28">
        <f t="shared" si="6"/>
        <v>10.63208416119271</v>
      </c>
      <c r="S164" s="28">
        <f t="shared" si="7"/>
        <v>13.385465923121291</v>
      </c>
      <c r="T164" s="28">
        <f t="shared" si="8"/>
        <v>8.9166402271988385</v>
      </c>
    </row>
    <row r="165" spans="1:20">
      <c r="A165" s="20" t="s">
        <v>63</v>
      </c>
      <c r="B165" s="21">
        <v>45689</v>
      </c>
      <c r="C165" s="20" t="s">
        <v>25</v>
      </c>
      <c r="D165" s="20" t="s">
        <v>19</v>
      </c>
      <c r="E165" s="22">
        <v>48438.85</v>
      </c>
      <c r="F165" s="22">
        <v>6992</v>
      </c>
      <c r="G165" s="23">
        <v>3.4000000000000002E-2</v>
      </c>
      <c r="H165" s="22">
        <v>20</v>
      </c>
      <c r="I165" s="22">
        <v>91</v>
      </c>
      <c r="J165" s="29">
        <v>4.3600000000000003</v>
      </c>
      <c r="K165" s="22">
        <v>0</v>
      </c>
      <c r="L165" s="22">
        <v>0</v>
      </c>
      <c r="M165" s="22">
        <v>4.2</v>
      </c>
      <c r="N165" s="22">
        <v>0</v>
      </c>
      <c r="O165" s="22">
        <v>778298.88</v>
      </c>
      <c r="P165" s="22">
        <v>130076.72</v>
      </c>
      <c r="Q165" s="22">
        <v>0</v>
      </c>
      <c r="R165" s="29">
        <f t="shared" si="6"/>
        <v>10.788057456675057</v>
      </c>
      <c r="S165" s="29">
        <f t="shared" si="7"/>
        <v>13.564865893912653</v>
      </c>
      <c r="T165" s="29">
        <f t="shared" si="8"/>
        <v>8.8525219173353715</v>
      </c>
    </row>
    <row r="166" spans="1:20">
      <c r="A166" s="16" t="s">
        <v>63</v>
      </c>
      <c r="B166" s="17">
        <v>45717</v>
      </c>
      <c r="C166" s="16" t="s">
        <v>25</v>
      </c>
      <c r="D166" s="16" t="s">
        <v>19</v>
      </c>
      <c r="E166" s="18">
        <v>57143.3</v>
      </c>
      <c r="F166" s="18">
        <v>8038</v>
      </c>
      <c r="G166" s="19">
        <v>0.193</v>
      </c>
      <c r="H166" s="18">
        <v>17</v>
      </c>
      <c r="I166" s="18">
        <v>72.599999999999994</v>
      </c>
      <c r="J166" s="28">
        <v>3.3650000000000002</v>
      </c>
      <c r="K166" s="31">
        <v>1</v>
      </c>
      <c r="L166" s="18">
        <v>0</v>
      </c>
      <c r="M166" s="18">
        <v>4.2</v>
      </c>
      <c r="N166" s="18">
        <v>0</v>
      </c>
      <c r="O166" s="18">
        <v>677096.71</v>
      </c>
      <c r="P166" s="18">
        <v>97174.11</v>
      </c>
      <c r="Q166" s="18">
        <v>0</v>
      </c>
      <c r="R166" s="28">
        <f t="shared" si="6"/>
        <v>10.953317427004775</v>
      </c>
      <c r="S166" s="28">
        <f t="shared" si="7"/>
        <v>13.425569392504613</v>
      </c>
      <c r="T166" s="28">
        <f t="shared" si="8"/>
        <v>8.9919355750091459</v>
      </c>
    </row>
    <row r="167" spans="1:20">
      <c r="A167" s="20" t="s">
        <v>63</v>
      </c>
      <c r="B167" s="21">
        <v>45748</v>
      </c>
      <c r="C167" s="20" t="s">
        <v>25</v>
      </c>
      <c r="D167" s="20" t="s">
        <v>19</v>
      </c>
      <c r="E167" s="22">
        <v>66870.62</v>
      </c>
      <c r="F167" s="22">
        <v>6055</v>
      </c>
      <c r="G167" s="23">
        <v>7.4999999999999997E-2</v>
      </c>
      <c r="H167" s="22">
        <v>19</v>
      </c>
      <c r="I167" s="22">
        <v>93.8</v>
      </c>
      <c r="J167" s="29">
        <v>0.54</v>
      </c>
      <c r="K167" s="22">
        <v>0</v>
      </c>
      <c r="L167" s="22">
        <v>0</v>
      </c>
      <c r="M167" s="22">
        <v>4.3</v>
      </c>
      <c r="N167" s="22">
        <v>0</v>
      </c>
      <c r="O167" s="22">
        <v>692008.64</v>
      </c>
      <c r="P167" s="22">
        <v>116337.87</v>
      </c>
      <c r="Q167" s="22">
        <v>0</v>
      </c>
      <c r="R167" s="29">
        <f t="shared" si="6"/>
        <v>11.110514986726292</v>
      </c>
      <c r="S167" s="29">
        <f t="shared" si="7"/>
        <v>13.447353720070996</v>
      </c>
      <c r="T167" s="29">
        <f t="shared" si="8"/>
        <v>8.7086396559871933</v>
      </c>
    </row>
    <row r="168" spans="1:20">
      <c r="A168" s="16" t="s">
        <v>64</v>
      </c>
      <c r="B168" s="17">
        <v>45658</v>
      </c>
      <c r="C168" s="16" t="s">
        <v>21</v>
      </c>
      <c r="D168" s="16" t="s">
        <v>29</v>
      </c>
      <c r="E168" s="18">
        <v>72150.53</v>
      </c>
      <c r="F168" s="18">
        <v>9323</v>
      </c>
      <c r="G168" s="19">
        <v>0.157</v>
      </c>
      <c r="H168" s="18">
        <v>22</v>
      </c>
      <c r="I168" s="18">
        <v>82.9</v>
      </c>
      <c r="J168" s="28">
        <v>11.37</v>
      </c>
      <c r="K168" s="18">
        <v>0</v>
      </c>
      <c r="L168" s="18">
        <v>1</v>
      </c>
      <c r="M168" s="18">
        <v>4.3</v>
      </c>
      <c r="N168" s="18">
        <v>0</v>
      </c>
      <c r="O168" s="18">
        <v>825797.91</v>
      </c>
      <c r="P168" s="18">
        <v>130945.24</v>
      </c>
      <c r="Q168" s="18">
        <v>0</v>
      </c>
      <c r="R168" s="28">
        <f t="shared" si="6"/>
        <v>11.186509909982382</v>
      </c>
      <c r="S168" s="28">
        <f t="shared" si="7"/>
        <v>13.624105361551777</v>
      </c>
      <c r="T168" s="28">
        <f t="shared" si="8"/>
        <v>9.1402397442966929</v>
      </c>
    </row>
    <row r="169" spans="1:20">
      <c r="A169" s="20" t="s">
        <v>64</v>
      </c>
      <c r="B169" s="21">
        <v>45689</v>
      </c>
      <c r="C169" s="20" t="s">
        <v>21</v>
      </c>
      <c r="D169" s="20" t="s">
        <v>29</v>
      </c>
      <c r="E169" s="22">
        <v>35303.300000000003</v>
      </c>
      <c r="F169" s="22">
        <v>8789</v>
      </c>
      <c r="G169" s="23">
        <v>0.123</v>
      </c>
      <c r="H169" s="22">
        <v>22</v>
      </c>
      <c r="I169" s="22">
        <v>86.1</v>
      </c>
      <c r="J169" s="29">
        <v>9.43</v>
      </c>
      <c r="K169" s="22">
        <v>0</v>
      </c>
      <c r="L169" s="22">
        <v>0</v>
      </c>
      <c r="M169" s="22">
        <v>4.2</v>
      </c>
      <c r="N169" s="22">
        <v>0</v>
      </c>
      <c r="O169" s="22">
        <v>706285.52</v>
      </c>
      <c r="P169" s="22">
        <v>138014.72</v>
      </c>
      <c r="Q169" s="22">
        <v>0</v>
      </c>
      <c r="R169" s="29">
        <f t="shared" si="6"/>
        <v>10.471731722971256</v>
      </c>
      <c r="S169" s="29">
        <f t="shared" si="7"/>
        <v>13.467774853983407</v>
      </c>
      <c r="T169" s="29">
        <f t="shared" si="8"/>
        <v>9.0812562185646453</v>
      </c>
    </row>
    <row r="170" spans="1:20">
      <c r="A170" s="16" t="s">
        <v>64</v>
      </c>
      <c r="B170" s="17">
        <v>45717</v>
      </c>
      <c r="C170" s="16" t="s">
        <v>21</v>
      </c>
      <c r="D170" s="16" t="s">
        <v>29</v>
      </c>
      <c r="E170" s="18">
        <v>30301.86</v>
      </c>
      <c r="F170" s="18">
        <v>6939</v>
      </c>
      <c r="G170" s="19">
        <v>0.09</v>
      </c>
      <c r="H170" s="18">
        <v>16</v>
      </c>
      <c r="I170" s="18">
        <v>90.3</v>
      </c>
      <c r="J170" s="28">
        <v>3.49</v>
      </c>
      <c r="K170" s="18">
        <v>0</v>
      </c>
      <c r="L170" s="18">
        <v>0</v>
      </c>
      <c r="M170" s="18">
        <v>4</v>
      </c>
      <c r="N170" s="18">
        <v>0</v>
      </c>
      <c r="O170" s="18">
        <v>665534.69999999995</v>
      </c>
      <c r="P170" s="18">
        <v>113167.73</v>
      </c>
      <c r="Q170" s="18">
        <v>0</v>
      </c>
      <c r="R170" s="28">
        <f t="shared" si="6"/>
        <v>10.318964375752023</v>
      </c>
      <c r="S170" s="28">
        <f t="shared" si="7"/>
        <v>13.408346056705179</v>
      </c>
      <c r="T170" s="28">
        <f t="shared" si="8"/>
        <v>8.8449129508995483</v>
      </c>
    </row>
    <row r="171" spans="1:20">
      <c r="A171" s="20" t="s">
        <v>64</v>
      </c>
      <c r="B171" s="21">
        <v>45748</v>
      </c>
      <c r="C171" s="20" t="s">
        <v>21</v>
      </c>
      <c r="D171" s="20" t="s">
        <v>29</v>
      </c>
      <c r="E171" s="22">
        <v>78432.14</v>
      </c>
      <c r="F171" s="22">
        <v>9440</v>
      </c>
      <c r="G171" s="23">
        <v>0.126</v>
      </c>
      <c r="H171" s="22">
        <v>23</v>
      </c>
      <c r="I171" s="22">
        <v>89.2</v>
      </c>
      <c r="J171" s="29">
        <v>7.86</v>
      </c>
      <c r="K171" s="22">
        <v>0</v>
      </c>
      <c r="L171" s="22">
        <v>0</v>
      </c>
      <c r="M171" s="22">
        <v>4.0999999999999996</v>
      </c>
      <c r="N171" s="22">
        <v>0</v>
      </c>
      <c r="O171" s="22">
        <v>820729.29</v>
      </c>
      <c r="P171" s="22">
        <v>159325.47</v>
      </c>
      <c r="Q171" s="22">
        <v>0</v>
      </c>
      <c r="R171" s="29">
        <f t="shared" si="6"/>
        <v>11.269989071311967</v>
      </c>
      <c r="S171" s="29">
        <f t="shared" si="7"/>
        <v>13.617948602026901</v>
      </c>
      <c r="T171" s="29">
        <f t="shared" si="8"/>
        <v>9.1527112591395472</v>
      </c>
    </row>
    <row r="172" spans="1:20">
      <c r="A172" s="16" t="s">
        <v>65</v>
      </c>
      <c r="B172" s="17">
        <v>45658</v>
      </c>
      <c r="C172" s="16" t="s">
        <v>16</v>
      </c>
      <c r="D172" s="16" t="s">
        <v>17</v>
      </c>
      <c r="E172" s="18">
        <v>62059.18</v>
      </c>
      <c r="F172" s="18">
        <v>9374</v>
      </c>
      <c r="G172" s="19">
        <v>0.13600000000000001</v>
      </c>
      <c r="H172" s="18">
        <v>25</v>
      </c>
      <c r="I172" s="18">
        <v>87.1</v>
      </c>
      <c r="J172" s="28">
        <v>12.55</v>
      </c>
      <c r="K172" s="18">
        <v>0</v>
      </c>
      <c r="L172" s="18">
        <v>0</v>
      </c>
      <c r="M172" s="18">
        <v>4.9000000000000004</v>
      </c>
      <c r="N172" s="18">
        <v>0</v>
      </c>
      <c r="O172" s="18">
        <v>739831.73</v>
      </c>
      <c r="P172" s="18">
        <v>119490.21</v>
      </c>
      <c r="Q172" s="18">
        <v>0</v>
      </c>
      <c r="R172" s="28">
        <f t="shared" si="6"/>
        <v>11.03584372489542</v>
      </c>
      <c r="S172" s="28">
        <f t="shared" si="7"/>
        <v>13.514178047431004</v>
      </c>
      <c r="T172" s="28">
        <f t="shared" si="8"/>
        <v>9.1456951784826508</v>
      </c>
    </row>
    <row r="173" spans="1:20">
      <c r="A173" s="20" t="s">
        <v>65</v>
      </c>
      <c r="B173" s="21">
        <v>45689</v>
      </c>
      <c r="C173" s="20" t="s">
        <v>16</v>
      </c>
      <c r="D173" s="20" t="s">
        <v>17</v>
      </c>
      <c r="E173" s="22">
        <v>32834.480000000003</v>
      </c>
      <c r="F173" s="22">
        <v>7576</v>
      </c>
      <c r="G173" s="23">
        <v>9.9000000000000005E-2</v>
      </c>
      <c r="H173" s="22">
        <v>15</v>
      </c>
      <c r="I173" s="22">
        <v>84.1</v>
      </c>
      <c r="J173" s="29">
        <v>3.48</v>
      </c>
      <c r="K173" s="22">
        <v>0</v>
      </c>
      <c r="L173" s="22">
        <v>0</v>
      </c>
      <c r="M173" s="22">
        <v>5</v>
      </c>
      <c r="N173" s="22">
        <v>0</v>
      </c>
      <c r="O173" s="22">
        <v>593637.14</v>
      </c>
      <c r="P173" s="22">
        <v>106648.14</v>
      </c>
      <c r="Q173" s="22">
        <v>0</v>
      </c>
      <c r="R173" s="29">
        <f t="shared" si="6"/>
        <v>10.399234461740114</v>
      </c>
      <c r="S173" s="29">
        <f t="shared" si="7"/>
        <v>13.294023536263495</v>
      </c>
      <c r="T173" s="29">
        <f t="shared" si="8"/>
        <v>8.9327406348659135</v>
      </c>
    </row>
    <row r="174" spans="1:20">
      <c r="A174" s="16" t="s">
        <v>65</v>
      </c>
      <c r="B174" s="17">
        <v>45717</v>
      </c>
      <c r="C174" s="16" t="s">
        <v>16</v>
      </c>
      <c r="D174" s="16" t="s">
        <v>17</v>
      </c>
      <c r="E174" s="18">
        <v>50825.08</v>
      </c>
      <c r="F174" s="18">
        <v>8949</v>
      </c>
      <c r="G174" s="19">
        <v>0.157</v>
      </c>
      <c r="H174" s="18">
        <v>21</v>
      </c>
      <c r="I174" s="18">
        <v>84.7</v>
      </c>
      <c r="J174" s="28">
        <v>7.73</v>
      </c>
      <c r="K174" s="18">
        <v>0</v>
      </c>
      <c r="L174" s="18">
        <v>0</v>
      </c>
      <c r="M174" s="18">
        <v>4.9000000000000004</v>
      </c>
      <c r="N174" s="18">
        <v>0</v>
      </c>
      <c r="O174" s="18">
        <v>769702.76</v>
      </c>
      <c r="P174" s="18">
        <v>158697</v>
      </c>
      <c r="Q174" s="18">
        <v>0</v>
      </c>
      <c r="R174" s="28">
        <f t="shared" si="6"/>
        <v>10.836145212523839</v>
      </c>
      <c r="S174" s="28">
        <f t="shared" si="7"/>
        <v>13.553759693328635</v>
      </c>
      <c r="T174" s="28">
        <f t="shared" si="8"/>
        <v>9.0992970731828589</v>
      </c>
    </row>
    <row r="175" spans="1:20">
      <c r="A175" s="20" t="s">
        <v>65</v>
      </c>
      <c r="B175" s="21">
        <v>45748</v>
      </c>
      <c r="C175" s="20" t="s">
        <v>16</v>
      </c>
      <c r="D175" s="20" t="s">
        <v>17</v>
      </c>
      <c r="E175" s="22">
        <v>36606.51</v>
      </c>
      <c r="F175" s="22">
        <v>7671</v>
      </c>
      <c r="G175" s="23">
        <v>0.11799999999999999</v>
      </c>
      <c r="H175" s="22">
        <v>18</v>
      </c>
      <c r="I175" s="22">
        <v>89.8</v>
      </c>
      <c r="J175" s="29">
        <v>0.25</v>
      </c>
      <c r="K175" s="22">
        <v>0</v>
      </c>
      <c r="L175" s="22">
        <v>0</v>
      </c>
      <c r="M175" s="22">
        <v>4.4000000000000004</v>
      </c>
      <c r="N175" s="22">
        <v>0</v>
      </c>
      <c r="O175" s="22">
        <v>679731.57</v>
      </c>
      <c r="P175" s="22">
        <v>121546.42</v>
      </c>
      <c r="Q175" s="22">
        <v>0</v>
      </c>
      <c r="R175" s="29">
        <f t="shared" si="6"/>
        <v>10.507981372425128</v>
      </c>
      <c r="S175" s="29">
        <f t="shared" si="7"/>
        <v>13.429453249217998</v>
      </c>
      <c r="T175" s="29">
        <f t="shared" si="8"/>
        <v>8.9452022639592972</v>
      </c>
    </row>
    <row r="176" spans="1:20">
      <c r="A176" s="16" t="s">
        <v>66</v>
      </c>
      <c r="B176" s="17">
        <v>45658</v>
      </c>
      <c r="C176" s="16" t="s">
        <v>16</v>
      </c>
      <c r="D176" s="16" t="s">
        <v>17</v>
      </c>
      <c r="E176" s="18">
        <v>65237.79</v>
      </c>
      <c r="F176" s="18">
        <v>8741</v>
      </c>
      <c r="G176" s="19">
        <v>0.157</v>
      </c>
      <c r="H176" s="18">
        <v>20</v>
      </c>
      <c r="I176" s="18">
        <v>94.4</v>
      </c>
      <c r="J176" s="28">
        <v>6.43</v>
      </c>
      <c r="K176" s="18">
        <v>0</v>
      </c>
      <c r="L176" s="18">
        <v>0</v>
      </c>
      <c r="M176" s="18">
        <v>3.3</v>
      </c>
      <c r="N176" s="18">
        <v>0</v>
      </c>
      <c r="O176" s="18">
        <v>780344.18</v>
      </c>
      <c r="P176" s="18">
        <v>118239.09</v>
      </c>
      <c r="Q176" s="18">
        <v>0</v>
      </c>
      <c r="R176" s="28">
        <f t="shared" si="6"/>
        <v>11.085794181237823</v>
      </c>
      <c r="S176" s="28">
        <f t="shared" si="7"/>
        <v>13.56749035775105</v>
      </c>
      <c r="T176" s="28">
        <f t="shared" si="8"/>
        <v>9.0757798785804873</v>
      </c>
    </row>
    <row r="177" spans="1:20">
      <c r="A177" s="20" t="s">
        <v>66</v>
      </c>
      <c r="B177" s="21">
        <v>45689</v>
      </c>
      <c r="C177" s="20" t="s">
        <v>16</v>
      </c>
      <c r="D177" s="20" t="s">
        <v>17</v>
      </c>
      <c r="E177" s="22">
        <v>43645.98</v>
      </c>
      <c r="F177" s="22">
        <v>9480</v>
      </c>
      <c r="G177" s="23">
        <v>0.109</v>
      </c>
      <c r="H177" s="22">
        <v>22</v>
      </c>
      <c r="I177" s="22">
        <v>89</v>
      </c>
      <c r="J177" s="29">
        <v>2.11</v>
      </c>
      <c r="K177" s="22">
        <v>0</v>
      </c>
      <c r="L177" s="22">
        <v>0</v>
      </c>
      <c r="M177" s="22">
        <v>3.1</v>
      </c>
      <c r="N177" s="22">
        <v>0</v>
      </c>
      <c r="O177" s="22">
        <v>721364.11</v>
      </c>
      <c r="P177" s="22">
        <v>147272.81</v>
      </c>
      <c r="Q177" s="22">
        <v>0</v>
      </c>
      <c r="R177" s="29">
        <f t="shared" si="6"/>
        <v>10.6838664608067</v>
      </c>
      <c r="S177" s="29">
        <f t="shared" si="7"/>
        <v>13.488899295728812</v>
      </c>
      <c r="T177" s="29">
        <f t="shared" si="8"/>
        <v>9.1569395952490673</v>
      </c>
    </row>
    <row r="178" spans="1:20">
      <c r="A178" s="16" t="s">
        <v>66</v>
      </c>
      <c r="B178" s="17">
        <v>45717</v>
      </c>
      <c r="C178" s="16" t="s">
        <v>16</v>
      </c>
      <c r="D178" s="16" t="s">
        <v>17</v>
      </c>
      <c r="E178" s="18">
        <v>68040.149999999994</v>
      </c>
      <c r="F178" s="18">
        <v>9826</v>
      </c>
      <c r="G178" s="19">
        <v>0.125</v>
      </c>
      <c r="H178" s="18">
        <v>20</v>
      </c>
      <c r="I178" s="18">
        <v>83.9</v>
      </c>
      <c r="J178" s="28">
        <v>9.1199999999999992</v>
      </c>
      <c r="K178" s="18">
        <v>0</v>
      </c>
      <c r="L178" s="18">
        <v>0</v>
      </c>
      <c r="M178" s="18">
        <v>3.6</v>
      </c>
      <c r="N178" s="18">
        <v>0</v>
      </c>
      <c r="O178" s="18">
        <v>758138.29</v>
      </c>
      <c r="P178" s="18">
        <v>132975.26</v>
      </c>
      <c r="Q178" s="18">
        <v>0</v>
      </c>
      <c r="R178" s="28">
        <f t="shared" si="6"/>
        <v>11.127853251092906</v>
      </c>
      <c r="S178" s="28">
        <f t="shared" si="7"/>
        <v>13.538621088617486</v>
      </c>
      <c r="T178" s="28">
        <f t="shared" si="8"/>
        <v>9.192787212728593</v>
      </c>
    </row>
    <row r="179" spans="1:20">
      <c r="A179" s="20" t="s">
        <v>66</v>
      </c>
      <c r="B179" s="21">
        <v>45748</v>
      </c>
      <c r="C179" s="20" t="s">
        <v>16</v>
      </c>
      <c r="D179" s="20" t="s">
        <v>17</v>
      </c>
      <c r="E179" s="22">
        <v>63043.94</v>
      </c>
      <c r="F179" s="22">
        <v>10402</v>
      </c>
      <c r="G179" s="23">
        <v>0.159</v>
      </c>
      <c r="H179" s="22">
        <v>23</v>
      </c>
      <c r="I179" s="22">
        <v>93.9</v>
      </c>
      <c r="J179" s="29">
        <v>2.71</v>
      </c>
      <c r="K179" s="22">
        <v>0</v>
      </c>
      <c r="L179" s="22">
        <v>0</v>
      </c>
      <c r="M179" s="22">
        <v>3.1</v>
      </c>
      <c r="N179" s="22">
        <v>0</v>
      </c>
      <c r="O179" s="22">
        <v>804264</v>
      </c>
      <c r="P179" s="22">
        <v>167117.91</v>
      </c>
      <c r="Q179" s="22">
        <v>0</v>
      </c>
      <c r="R179" s="29">
        <f t="shared" si="6"/>
        <v>11.051587222578718</v>
      </c>
      <c r="S179" s="29">
        <f t="shared" si="7"/>
        <v>13.5976828524723</v>
      </c>
      <c r="T179" s="29">
        <f t="shared" si="8"/>
        <v>9.249753374333018</v>
      </c>
    </row>
    <row r="180" spans="1:20">
      <c r="A180" s="16" t="s">
        <v>67</v>
      </c>
      <c r="B180" s="17">
        <v>45658</v>
      </c>
      <c r="C180" s="16" t="s">
        <v>28</v>
      </c>
      <c r="D180" s="16" t="s">
        <v>22</v>
      </c>
      <c r="E180" s="18">
        <v>67494.09</v>
      </c>
      <c r="F180" s="18">
        <v>12361</v>
      </c>
      <c r="G180" s="19">
        <v>4.5999999999999999E-2</v>
      </c>
      <c r="H180" s="18">
        <v>24</v>
      </c>
      <c r="I180" s="18">
        <v>76.599999999999994</v>
      </c>
      <c r="J180" s="28">
        <v>3.65</v>
      </c>
      <c r="K180" s="18">
        <v>0</v>
      </c>
      <c r="L180" s="18">
        <v>1</v>
      </c>
      <c r="M180" s="18">
        <v>3.7</v>
      </c>
      <c r="N180" s="18">
        <v>0</v>
      </c>
      <c r="O180" s="18">
        <v>887537.75</v>
      </c>
      <c r="P180" s="18">
        <v>160362.92000000001</v>
      </c>
      <c r="Q180" s="18">
        <v>0</v>
      </c>
      <c r="R180" s="28">
        <f t="shared" si="6"/>
        <v>11.119795317471855</v>
      </c>
      <c r="S180" s="28">
        <f t="shared" si="7"/>
        <v>13.696206334638379</v>
      </c>
      <c r="T180" s="28">
        <f t="shared" si="8"/>
        <v>9.4223016338878232</v>
      </c>
    </row>
    <row r="181" spans="1:20">
      <c r="A181" s="20" t="s">
        <v>67</v>
      </c>
      <c r="B181" s="21">
        <v>45689</v>
      </c>
      <c r="C181" s="20" t="s">
        <v>28</v>
      </c>
      <c r="D181" s="20" t="s">
        <v>22</v>
      </c>
      <c r="E181" s="22">
        <v>29389.32</v>
      </c>
      <c r="F181" s="22">
        <v>7925</v>
      </c>
      <c r="G181" s="23">
        <v>0.17699999999999999</v>
      </c>
      <c r="H181" s="22">
        <v>21</v>
      </c>
      <c r="I181" s="22">
        <v>90.9</v>
      </c>
      <c r="J181" s="29">
        <v>7.86</v>
      </c>
      <c r="K181" s="22">
        <v>0</v>
      </c>
      <c r="L181" s="22">
        <v>0</v>
      </c>
      <c r="M181" s="22">
        <v>4</v>
      </c>
      <c r="N181" s="22">
        <v>0</v>
      </c>
      <c r="O181" s="22">
        <v>783582</v>
      </c>
      <c r="P181" s="22">
        <v>130670.93</v>
      </c>
      <c r="Q181" s="22">
        <v>0</v>
      </c>
      <c r="R181" s="29">
        <f t="shared" si="6"/>
        <v>10.288386622023825</v>
      </c>
      <c r="S181" s="29">
        <f t="shared" si="7"/>
        <v>13.571630993885165</v>
      </c>
      <c r="T181" s="29">
        <f t="shared" si="8"/>
        <v>8.9777775987454813</v>
      </c>
    </row>
    <row r="182" spans="1:20">
      <c r="A182" s="16" t="s">
        <v>67</v>
      </c>
      <c r="B182" s="17">
        <v>45717</v>
      </c>
      <c r="C182" s="16" t="s">
        <v>28</v>
      </c>
      <c r="D182" s="16" t="s">
        <v>22</v>
      </c>
      <c r="E182" s="18">
        <v>40535.089999999997</v>
      </c>
      <c r="F182" s="18">
        <v>8870</v>
      </c>
      <c r="G182" s="19">
        <v>4.1000000000000002E-2</v>
      </c>
      <c r="H182" s="18">
        <v>21</v>
      </c>
      <c r="I182" s="18">
        <v>86.6</v>
      </c>
      <c r="J182" s="28">
        <v>0.3</v>
      </c>
      <c r="K182" s="18">
        <v>0</v>
      </c>
      <c r="L182" s="18">
        <v>0</v>
      </c>
      <c r="M182" s="18">
        <v>4.0999999999999996</v>
      </c>
      <c r="N182" s="18">
        <v>0</v>
      </c>
      <c r="O182" s="18">
        <v>781955.52</v>
      </c>
      <c r="P182" s="18">
        <v>152578.71</v>
      </c>
      <c r="Q182" s="18">
        <v>0</v>
      </c>
      <c r="R182" s="28">
        <f t="shared" si="6"/>
        <v>10.609923297722784</v>
      </c>
      <c r="S182" s="28">
        <f t="shared" si="7"/>
        <v>13.569553138114335</v>
      </c>
      <c r="T182" s="28">
        <f t="shared" si="8"/>
        <v>9.090430075303626</v>
      </c>
    </row>
    <row r="183" spans="1:20">
      <c r="A183" s="20" t="s">
        <v>67</v>
      </c>
      <c r="B183" s="21">
        <v>45748</v>
      </c>
      <c r="C183" s="20" t="s">
        <v>28</v>
      </c>
      <c r="D183" s="20" t="s">
        <v>22</v>
      </c>
      <c r="E183" s="22">
        <v>74881.56</v>
      </c>
      <c r="F183" s="22">
        <v>9999</v>
      </c>
      <c r="G183" s="23">
        <v>1.2999999999999999E-2</v>
      </c>
      <c r="H183" s="22">
        <v>20</v>
      </c>
      <c r="I183" s="22">
        <v>89.6</v>
      </c>
      <c r="J183" s="29">
        <v>8.44</v>
      </c>
      <c r="K183" s="22">
        <v>0</v>
      </c>
      <c r="L183" s="22">
        <v>0</v>
      </c>
      <c r="M183" s="22">
        <v>4.0999999999999996</v>
      </c>
      <c r="N183" s="22">
        <v>0</v>
      </c>
      <c r="O183" s="22">
        <v>898031.04</v>
      </c>
      <c r="P183" s="22">
        <v>138666.5</v>
      </c>
      <c r="Q183" s="22">
        <v>0</v>
      </c>
      <c r="R183" s="29">
        <f t="shared" si="6"/>
        <v>11.223662944267796</v>
      </c>
      <c r="S183" s="29">
        <f t="shared" si="7"/>
        <v>13.707959912388516</v>
      </c>
      <c r="T183" s="29">
        <f t="shared" si="8"/>
        <v>9.2102403669758495</v>
      </c>
    </row>
    <row r="184" spans="1:20">
      <c r="A184" s="16" t="s">
        <v>68</v>
      </c>
      <c r="B184" s="17">
        <v>45658</v>
      </c>
      <c r="C184" s="16" t="s">
        <v>28</v>
      </c>
      <c r="D184" s="16" t="s">
        <v>17</v>
      </c>
      <c r="E184" s="18">
        <v>68491.11</v>
      </c>
      <c r="F184" s="18">
        <v>11154</v>
      </c>
      <c r="G184" s="19">
        <v>1E-3</v>
      </c>
      <c r="H184" s="18">
        <v>24</v>
      </c>
      <c r="I184" s="18">
        <v>89.4</v>
      </c>
      <c r="J184" s="28">
        <v>5.27</v>
      </c>
      <c r="K184" s="18">
        <v>0</v>
      </c>
      <c r="L184" s="18">
        <v>1</v>
      </c>
      <c r="M184" s="18">
        <v>3.9</v>
      </c>
      <c r="N184" s="18">
        <v>0</v>
      </c>
      <c r="O184" s="18">
        <v>855341.28</v>
      </c>
      <c r="P184" s="18">
        <v>175823.8</v>
      </c>
      <c r="Q184" s="18">
        <v>0</v>
      </c>
      <c r="R184" s="28">
        <f t="shared" si="6"/>
        <v>11.134459234806133</v>
      </c>
      <c r="S184" s="28">
        <f t="shared" si="7"/>
        <v>13.659255826171314</v>
      </c>
      <c r="T184" s="28">
        <f t="shared" si="8"/>
        <v>9.3195534569494995</v>
      </c>
    </row>
    <row r="185" spans="1:20">
      <c r="A185" s="20" t="s">
        <v>68</v>
      </c>
      <c r="B185" s="21">
        <v>45689</v>
      </c>
      <c r="C185" s="20" t="s">
        <v>28</v>
      </c>
      <c r="D185" s="20" t="s">
        <v>17</v>
      </c>
      <c r="E185" s="22">
        <v>45209.25</v>
      </c>
      <c r="F185" s="22">
        <v>9287</v>
      </c>
      <c r="G185" s="23">
        <v>0.14099999999999999</v>
      </c>
      <c r="H185" s="22">
        <v>22</v>
      </c>
      <c r="I185" s="22">
        <v>86.4</v>
      </c>
      <c r="J185" s="29">
        <v>13.22</v>
      </c>
      <c r="K185" s="22">
        <v>0</v>
      </c>
      <c r="L185" s="22">
        <v>0</v>
      </c>
      <c r="M185" s="22">
        <v>3.6</v>
      </c>
      <c r="N185" s="22">
        <v>0</v>
      </c>
      <c r="O185" s="22">
        <v>751393.88</v>
      </c>
      <c r="P185" s="22">
        <v>91480.320000000007</v>
      </c>
      <c r="Q185" s="22">
        <v>0</v>
      </c>
      <c r="R185" s="29">
        <f t="shared" si="6"/>
        <v>10.719056990900881</v>
      </c>
      <c r="S185" s="29">
        <f t="shared" si="7"/>
        <v>13.529685267292457</v>
      </c>
      <c r="T185" s="29">
        <f t="shared" si="8"/>
        <v>9.1363708517760092</v>
      </c>
    </row>
    <row r="186" spans="1:20">
      <c r="A186" s="16" t="s">
        <v>68</v>
      </c>
      <c r="B186" s="17">
        <v>45717</v>
      </c>
      <c r="C186" s="16" t="s">
        <v>28</v>
      </c>
      <c r="D186" s="16" t="s">
        <v>17</v>
      </c>
      <c r="E186" s="18">
        <v>63010.23</v>
      </c>
      <c r="F186" s="18">
        <v>9812</v>
      </c>
      <c r="G186" s="19">
        <v>0.113</v>
      </c>
      <c r="H186" s="18">
        <v>24</v>
      </c>
      <c r="I186" s="18">
        <v>76.8</v>
      </c>
      <c r="J186" s="28">
        <v>1.02</v>
      </c>
      <c r="K186" s="18">
        <v>0</v>
      </c>
      <c r="L186" s="18">
        <v>1</v>
      </c>
      <c r="M186" s="18">
        <v>3.8</v>
      </c>
      <c r="N186" s="18">
        <v>0</v>
      </c>
      <c r="O186" s="18">
        <v>761077.08</v>
      </c>
      <c r="P186" s="18">
        <v>113605.93</v>
      </c>
      <c r="Q186" s="18">
        <v>0</v>
      </c>
      <c r="R186" s="28">
        <f t="shared" si="6"/>
        <v>11.05105237314369</v>
      </c>
      <c r="S186" s="28">
        <f t="shared" si="7"/>
        <v>13.5424899194938</v>
      </c>
      <c r="T186" s="28">
        <f t="shared" si="8"/>
        <v>9.1913614053783803</v>
      </c>
    </row>
    <row r="187" spans="1:20">
      <c r="A187" s="20" t="s">
        <v>68</v>
      </c>
      <c r="B187" s="21">
        <v>45748</v>
      </c>
      <c r="C187" s="20" t="s">
        <v>28</v>
      </c>
      <c r="D187" s="20" t="s">
        <v>17</v>
      </c>
      <c r="E187" s="22">
        <v>57948.88</v>
      </c>
      <c r="F187" s="22">
        <v>10741</v>
      </c>
      <c r="G187" s="23">
        <v>7.0000000000000007E-2</v>
      </c>
      <c r="H187" s="22">
        <v>25</v>
      </c>
      <c r="I187" s="22">
        <v>90.1</v>
      </c>
      <c r="J187" s="29">
        <v>4.03</v>
      </c>
      <c r="K187" s="22">
        <v>0</v>
      </c>
      <c r="L187" s="22">
        <v>0</v>
      </c>
      <c r="M187" s="22">
        <v>3.1</v>
      </c>
      <c r="N187" s="22">
        <v>0</v>
      </c>
      <c r="O187" s="22">
        <v>819660.59</v>
      </c>
      <c r="P187" s="22">
        <v>172699.95</v>
      </c>
      <c r="Q187" s="22">
        <v>0</v>
      </c>
      <c r="R187" s="29">
        <f t="shared" si="6"/>
        <v>10.967316521575089</v>
      </c>
      <c r="S187" s="29">
        <f t="shared" si="7"/>
        <v>13.616645618919982</v>
      </c>
      <c r="T187" s="29">
        <f t="shared" si="8"/>
        <v>9.2818234735980472</v>
      </c>
    </row>
    <row r="188" spans="1:20">
      <c r="A188" s="16" t="s">
        <v>69</v>
      </c>
      <c r="B188" s="17">
        <v>45658</v>
      </c>
      <c r="C188" s="16" t="s">
        <v>21</v>
      </c>
      <c r="D188" s="16" t="s">
        <v>19</v>
      </c>
      <c r="E188" s="18">
        <v>71941.62</v>
      </c>
      <c r="F188" s="18">
        <v>6084</v>
      </c>
      <c r="G188" s="19">
        <v>7.1999999999999995E-2</v>
      </c>
      <c r="H188" s="18">
        <v>13</v>
      </c>
      <c r="I188" s="18">
        <v>93.7</v>
      </c>
      <c r="J188" s="28">
        <v>2.34</v>
      </c>
      <c r="K188" s="18">
        <v>0</v>
      </c>
      <c r="L188" s="18">
        <v>0</v>
      </c>
      <c r="M188" s="18">
        <v>4.4000000000000004</v>
      </c>
      <c r="N188" s="18">
        <v>0</v>
      </c>
      <c r="O188" s="18">
        <v>681855.56</v>
      </c>
      <c r="P188" s="18">
        <v>117645.61</v>
      </c>
      <c r="Q188" s="18">
        <v>0</v>
      </c>
      <c r="R188" s="28">
        <f t="shared" si="6"/>
        <v>11.183610235761709</v>
      </c>
      <c r="S188" s="28">
        <f t="shared" si="7"/>
        <v>13.432573125538868</v>
      </c>
      <c r="T188" s="28">
        <f t="shared" si="8"/>
        <v>8.7134176533791834</v>
      </c>
    </row>
    <row r="189" spans="1:20">
      <c r="A189" s="20" t="s">
        <v>69</v>
      </c>
      <c r="B189" s="21">
        <v>45689</v>
      </c>
      <c r="C189" s="20" t="s">
        <v>21</v>
      </c>
      <c r="D189" s="20" t="s">
        <v>19</v>
      </c>
      <c r="E189" s="22">
        <v>57147.88</v>
      </c>
      <c r="F189" s="22">
        <v>5252</v>
      </c>
      <c r="G189" s="23">
        <v>0.161</v>
      </c>
      <c r="H189" s="22">
        <v>15</v>
      </c>
      <c r="I189" s="22">
        <v>95.5</v>
      </c>
      <c r="J189" s="29">
        <v>8.51</v>
      </c>
      <c r="K189" s="22">
        <v>0</v>
      </c>
      <c r="L189" s="22">
        <v>0</v>
      </c>
      <c r="M189" s="22">
        <v>4.4000000000000004</v>
      </c>
      <c r="N189" s="22">
        <v>0</v>
      </c>
      <c r="O189" s="22">
        <v>678311.17</v>
      </c>
      <c r="P189" s="22">
        <v>132029.76000000001</v>
      </c>
      <c r="Q189" s="22">
        <v>0</v>
      </c>
      <c r="R189" s="29">
        <f t="shared" si="6"/>
        <v>10.953397573171827</v>
      </c>
      <c r="S189" s="29">
        <f t="shared" si="7"/>
        <v>13.427361414438268</v>
      </c>
      <c r="T189" s="29">
        <f t="shared" si="8"/>
        <v>8.5663642354226877</v>
      </c>
    </row>
    <row r="190" spans="1:20">
      <c r="A190" s="16" t="s">
        <v>69</v>
      </c>
      <c r="B190" s="17">
        <v>45717</v>
      </c>
      <c r="C190" s="16" t="s">
        <v>21</v>
      </c>
      <c r="D190" s="16" t="s">
        <v>19</v>
      </c>
      <c r="E190" s="18">
        <v>48031.74</v>
      </c>
      <c r="F190" s="18">
        <v>6516</v>
      </c>
      <c r="G190" s="19">
        <v>6.7000000000000004E-2</v>
      </c>
      <c r="H190" s="18">
        <v>14</v>
      </c>
      <c r="I190" s="18">
        <v>99</v>
      </c>
      <c r="J190" s="28">
        <v>0.48</v>
      </c>
      <c r="K190" s="18">
        <v>0</v>
      </c>
      <c r="L190" s="18">
        <v>1</v>
      </c>
      <c r="M190" s="18">
        <v>4.3</v>
      </c>
      <c r="N190" s="18">
        <v>0</v>
      </c>
      <c r="O190" s="18">
        <v>765906.95</v>
      </c>
      <c r="P190" s="18">
        <v>114005.9</v>
      </c>
      <c r="Q190" s="18">
        <v>0</v>
      </c>
      <c r="R190" s="28">
        <f t="shared" si="6"/>
        <v>10.779617321360577</v>
      </c>
      <c r="S190" s="28">
        <f t="shared" si="7"/>
        <v>13.548815966148197</v>
      </c>
      <c r="T190" s="28">
        <f t="shared" si="8"/>
        <v>8.782015969721936</v>
      </c>
    </row>
    <row r="191" spans="1:20">
      <c r="A191" s="20" t="s">
        <v>69</v>
      </c>
      <c r="B191" s="21">
        <v>45748</v>
      </c>
      <c r="C191" s="20" t="s">
        <v>21</v>
      </c>
      <c r="D191" s="20" t="s">
        <v>19</v>
      </c>
      <c r="E191" s="22">
        <v>72784.800000000003</v>
      </c>
      <c r="F191" s="22">
        <v>7932</v>
      </c>
      <c r="G191" s="23">
        <v>9.4E-2</v>
      </c>
      <c r="H191" s="22">
        <v>20</v>
      </c>
      <c r="I191" s="22">
        <v>74.900000000000006</v>
      </c>
      <c r="J191" s="29">
        <v>13.62</v>
      </c>
      <c r="K191" s="22">
        <v>0</v>
      </c>
      <c r="L191" s="22">
        <v>0</v>
      </c>
      <c r="M191" s="22">
        <v>4.2</v>
      </c>
      <c r="N191" s="22">
        <v>0</v>
      </c>
      <c r="O191" s="22">
        <v>712546.38</v>
      </c>
      <c r="P191" s="22">
        <v>101480.04</v>
      </c>
      <c r="Q191" s="22">
        <v>0</v>
      </c>
      <c r="R191" s="29">
        <f t="shared" si="6"/>
        <v>11.195262421176068</v>
      </c>
      <c r="S191" s="29">
        <f t="shared" si="7"/>
        <v>13.476600283743215</v>
      </c>
      <c r="T191" s="29">
        <f t="shared" si="8"/>
        <v>8.9786604896396867</v>
      </c>
    </row>
    <row r="192" spans="1:20">
      <c r="A192" s="16" t="s">
        <v>70</v>
      </c>
      <c r="B192" s="17">
        <v>45658</v>
      </c>
      <c r="C192" s="16" t="s">
        <v>16</v>
      </c>
      <c r="D192" s="16" t="s">
        <v>19</v>
      </c>
      <c r="E192" s="18">
        <v>71641.899999999994</v>
      </c>
      <c r="F192" s="18">
        <v>3506</v>
      </c>
      <c r="G192" s="19">
        <v>0</v>
      </c>
      <c r="H192" s="18">
        <v>11</v>
      </c>
      <c r="I192" s="18">
        <v>86.4</v>
      </c>
      <c r="J192" s="28">
        <v>7.77</v>
      </c>
      <c r="K192" s="18">
        <v>0</v>
      </c>
      <c r="L192" s="18">
        <v>0</v>
      </c>
      <c r="M192" s="18">
        <v>4.0999999999999996</v>
      </c>
      <c r="N192" s="18">
        <v>0</v>
      </c>
      <c r="O192" s="18">
        <v>625993.82999999996</v>
      </c>
      <c r="P192" s="18">
        <v>98960.320000000007</v>
      </c>
      <c r="Q192" s="18">
        <v>0</v>
      </c>
      <c r="R192" s="28">
        <f t="shared" si="6"/>
        <v>11.179435377319329</v>
      </c>
      <c r="S192" s="28">
        <f t="shared" si="7"/>
        <v>13.34709579380363</v>
      </c>
      <c r="T192" s="28">
        <f t="shared" si="8"/>
        <v>8.1622310654811798</v>
      </c>
    </row>
    <row r="193" spans="1:20">
      <c r="A193" s="20" t="s">
        <v>70</v>
      </c>
      <c r="B193" s="21">
        <v>45689</v>
      </c>
      <c r="C193" s="20" t="s">
        <v>16</v>
      </c>
      <c r="D193" s="20" t="s">
        <v>19</v>
      </c>
      <c r="E193" s="22">
        <v>55788.61</v>
      </c>
      <c r="F193" s="22">
        <v>2312</v>
      </c>
      <c r="G193" s="23">
        <v>5.8000000000000003E-2</v>
      </c>
      <c r="H193" s="22">
        <v>10</v>
      </c>
      <c r="I193" s="22">
        <v>91.3</v>
      </c>
      <c r="J193" s="29">
        <v>1.99</v>
      </c>
      <c r="K193" s="22">
        <v>0</v>
      </c>
      <c r="L193" s="22">
        <v>0</v>
      </c>
      <c r="M193" s="22">
        <v>3.8</v>
      </c>
      <c r="N193" s="22">
        <v>0</v>
      </c>
      <c r="O193" s="22">
        <v>550962.93000000005</v>
      </c>
      <c r="P193" s="22">
        <v>97144.58</v>
      </c>
      <c r="Q193" s="22">
        <v>0</v>
      </c>
      <c r="R193" s="29">
        <f t="shared" si="6"/>
        <v>10.929325005669901</v>
      </c>
      <c r="S193" s="29">
        <f t="shared" si="7"/>
        <v>13.219422808194857</v>
      </c>
      <c r="T193" s="29">
        <f t="shared" si="8"/>
        <v>7.7458682297922685</v>
      </c>
    </row>
    <row r="194" spans="1:20">
      <c r="A194" s="16" t="s">
        <v>70</v>
      </c>
      <c r="B194" s="17">
        <v>45717</v>
      </c>
      <c r="C194" s="16" t="s">
        <v>16</v>
      </c>
      <c r="D194" s="16" t="s">
        <v>19</v>
      </c>
      <c r="E194" s="18">
        <v>37705.879999999997</v>
      </c>
      <c r="F194" s="18">
        <v>1268</v>
      </c>
      <c r="G194" s="19">
        <v>0.25900000000000001</v>
      </c>
      <c r="H194" s="18">
        <v>9</v>
      </c>
      <c r="I194" s="18">
        <v>84.1</v>
      </c>
      <c r="J194" s="28">
        <v>4.7699999999999996</v>
      </c>
      <c r="K194" s="18">
        <v>0</v>
      </c>
      <c r="L194" s="18">
        <v>0</v>
      </c>
      <c r="M194" s="18">
        <v>3.8</v>
      </c>
      <c r="N194" s="18">
        <v>0</v>
      </c>
      <c r="O194" s="18">
        <v>443275.59</v>
      </c>
      <c r="P194" s="18">
        <v>53544.36</v>
      </c>
      <c r="Q194" s="18">
        <v>0</v>
      </c>
      <c r="R194" s="28">
        <f t="shared" si="6"/>
        <v>10.537571329444093</v>
      </c>
      <c r="S194" s="28">
        <f t="shared" si="7"/>
        <v>13.001946954926503</v>
      </c>
      <c r="T194" s="28">
        <f t="shared" si="8"/>
        <v>7.1451961349971711</v>
      </c>
    </row>
    <row r="195" spans="1:20">
      <c r="A195" s="20" t="s">
        <v>70</v>
      </c>
      <c r="B195" s="21">
        <v>45748</v>
      </c>
      <c r="C195" s="20" t="s">
        <v>16</v>
      </c>
      <c r="D195" s="20" t="s">
        <v>19</v>
      </c>
      <c r="E195" s="22">
        <v>54966.18</v>
      </c>
      <c r="F195" s="22">
        <v>4423</v>
      </c>
      <c r="G195" s="23">
        <v>0.186</v>
      </c>
      <c r="H195" s="22">
        <v>13</v>
      </c>
      <c r="I195" s="22">
        <v>88.7</v>
      </c>
      <c r="J195" s="29">
        <v>0.2</v>
      </c>
      <c r="K195" s="22">
        <v>0</v>
      </c>
      <c r="L195" s="22">
        <v>0</v>
      </c>
      <c r="M195" s="22">
        <v>4.4000000000000004</v>
      </c>
      <c r="N195" s="22">
        <v>0</v>
      </c>
      <c r="O195" s="22">
        <v>554012.06999999995</v>
      </c>
      <c r="P195" s="22">
        <v>81101.62</v>
      </c>
      <c r="Q195" s="22">
        <v>0</v>
      </c>
      <c r="R195" s="29">
        <f t="shared" si="6"/>
        <v>10.914473365989567</v>
      </c>
      <c r="S195" s="29">
        <f t="shared" si="7"/>
        <v>13.224941752495697</v>
      </c>
      <c r="T195" s="29">
        <f t="shared" si="8"/>
        <v>8.3945734778683274</v>
      </c>
    </row>
    <row r="196" spans="1:20">
      <c r="A196" s="16" t="s">
        <v>71</v>
      </c>
      <c r="B196" s="17">
        <v>45658</v>
      </c>
      <c r="C196" s="16" t="s">
        <v>28</v>
      </c>
      <c r="D196" s="16" t="s">
        <v>17</v>
      </c>
      <c r="E196" s="18">
        <v>81796.740000000005</v>
      </c>
      <c r="F196" s="18">
        <v>6177</v>
      </c>
      <c r="G196" s="19">
        <v>0.16400000000000001</v>
      </c>
      <c r="H196" s="18">
        <v>14</v>
      </c>
      <c r="I196" s="18">
        <v>87.9</v>
      </c>
      <c r="J196" s="28">
        <v>0.53</v>
      </c>
      <c r="K196" s="18">
        <v>0</v>
      </c>
      <c r="L196" s="18">
        <v>0</v>
      </c>
      <c r="M196" s="18">
        <v>3.2</v>
      </c>
      <c r="N196" s="18">
        <v>0</v>
      </c>
      <c r="O196" s="18">
        <v>643428.85</v>
      </c>
      <c r="P196" s="18">
        <v>94477.63</v>
      </c>
      <c r="Q196" s="18">
        <v>0</v>
      </c>
      <c r="R196" s="28">
        <f t="shared" si="6"/>
        <v>11.311992668495941</v>
      </c>
      <c r="S196" s="28">
        <f t="shared" si="7"/>
        <v>13.374566732694747</v>
      </c>
      <c r="T196" s="28">
        <f t="shared" si="8"/>
        <v>8.7285879956958983</v>
      </c>
    </row>
    <row r="197" spans="1:20">
      <c r="A197" s="20" t="s">
        <v>71</v>
      </c>
      <c r="B197" s="21">
        <v>45689</v>
      </c>
      <c r="C197" s="20" t="s">
        <v>28</v>
      </c>
      <c r="D197" s="20" t="s">
        <v>17</v>
      </c>
      <c r="E197" s="22">
        <v>51133.43</v>
      </c>
      <c r="F197" s="22">
        <v>5150</v>
      </c>
      <c r="G197" s="23">
        <v>0.15</v>
      </c>
      <c r="H197" s="22">
        <v>12</v>
      </c>
      <c r="I197" s="22">
        <v>88.5</v>
      </c>
      <c r="J197" s="29">
        <v>1.54</v>
      </c>
      <c r="K197" s="22">
        <v>0</v>
      </c>
      <c r="L197" s="22">
        <v>0</v>
      </c>
      <c r="M197" s="22">
        <v>3.2</v>
      </c>
      <c r="N197" s="22">
        <v>0</v>
      </c>
      <c r="O197" s="22">
        <v>611924.27</v>
      </c>
      <c r="P197" s="22">
        <v>115488.75</v>
      </c>
      <c r="Q197" s="22">
        <v>0</v>
      </c>
      <c r="R197" s="29">
        <f t="shared" ref="R197:R260" si="9">LN(E197)</f>
        <v>10.842193769727794</v>
      </c>
      <c r="S197" s="29">
        <f t="shared" ref="S197:S260" si="10">LN(O197)</f>
        <v>13.324363812007746</v>
      </c>
      <c r="T197" s="29">
        <f t="shared" ref="T197:T260" si="11">LN(F197)</f>
        <v>8.5467519936577823</v>
      </c>
    </row>
    <row r="198" spans="1:20">
      <c r="A198" s="16" t="s">
        <v>71</v>
      </c>
      <c r="B198" s="17">
        <v>45717</v>
      </c>
      <c r="C198" s="16" t="s">
        <v>28</v>
      </c>
      <c r="D198" s="16" t="s">
        <v>17</v>
      </c>
      <c r="E198" s="18">
        <v>40220.18</v>
      </c>
      <c r="F198" s="18">
        <v>3783</v>
      </c>
      <c r="G198" s="19">
        <v>8.8999999999999996E-2</v>
      </c>
      <c r="H198" s="18">
        <v>14</v>
      </c>
      <c r="I198" s="18">
        <v>86.6</v>
      </c>
      <c r="J198" s="28">
        <v>3.63</v>
      </c>
      <c r="K198" s="18">
        <v>0</v>
      </c>
      <c r="L198" s="18">
        <v>0</v>
      </c>
      <c r="M198" s="18">
        <v>3.7</v>
      </c>
      <c r="N198" s="18">
        <v>0</v>
      </c>
      <c r="O198" s="18">
        <v>559422.02</v>
      </c>
      <c r="P198" s="18">
        <v>73528.740000000005</v>
      </c>
      <c r="Q198" s="18">
        <v>0</v>
      </c>
      <c r="R198" s="28">
        <f t="shared" si="9"/>
        <v>10.60212413870201</v>
      </c>
      <c r="S198" s="28">
        <f t="shared" si="10"/>
        <v>13.234659422579131</v>
      </c>
      <c r="T198" s="28">
        <f t="shared" si="11"/>
        <v>8.23827262463303</v>
      </c>
    </row>
    <row r="199" spans="1:20">
      <c r="A199" s="20" t="s">
        <v>71</v>
      </c>
      <c r="B199" s="21">
        <v>45748</v>
      </c>
      <c r="C199" s="20" t="s">
        <v>28</v>
      </c>
      <c r="D199" s="20" t="s">
        <v>17</v>
      </c>
      <c r="E199" s="22">
        <v>41657.64</v>
      </c>
      <c r="F199" s="22">
        <v>3135</v>
      </c>
      <c r="G199" s="23">
        <v>0.22900000000000001</v>
      </c>
      <c r="H199" s="22">
        <v>7</v>
      </c>
      <c r="I199" s="22">
        <v>85.4</v>
      </c>
      <c r="J199" s="29">
        <v>13.48</v>
      </c>
      <c r="K199" s="22">
        <v>0</v>
      </c>
      <c r="L199" s="22">
        <v>0</v>
      </c>
      <c r="M199" s="22">
        <v>4</v>
      </c>
      <c r="N199" s="31">
        <v>1</v>
      </c>
      <c r="O199" s="22">
        <v>449465.06</v>
      </c>
      <c r="P199" s="22">
        <v>65694.78</v>
      </c>
      <c r="Q199" s="22">
        <v>0</v>
      </c>
      <c r="R199" s="29">
        <f t="shared" si="9"/>
        <v>10.637240064146495</v>
      </c>
      <c r="S199" s="29">
        <f t="shared" si="10"/>
        <v>13.015813399060603</v>
      </c>
      <c r="T199" s="29">
        <f t="shared" si="11"/>
        <v>8.0503844530670214</v>
      </c>
    </row>
    <row r="200" spans="1:20">
      <c r="A200" s="16" t="s">
        <v>72</v>
      </c>
      <c r="B200" s="17">
        <v>45658</v>
      </c>
      <c r="C200" s="16" t="s">
        <v>21</v>
      </c>
      <c r="D200" s="16" t="s">
        <v>17</v>
      </c>
      <c r="E200" s="18">
        <v>71851.45</v>
      </c>
      <c r="F200" s="18">
        <v>4970</v>
      </c>
      <c r="G200" s="19">
        <v>9.8000000000000004E-2</v>
      </c>
      <c r="H200" s="18">
        <v>11</v>
      </c>
      <c r="I200" s="18">
        <v>89.6</v>
      </c>
      <c r="J200" s="28">
        <v>0.2</v>
      </c>
      <c r="K200" s="18">
        <v>0</v>
      </c>
      <c r="L200" s="18">
        <v>0</v>
      </c>
      <c r="M200" s="18">
        <v>4.2</v>
      </c>
      <c r="N200" s="18">
        <v>0</v>
      </c>
      <c r="O200" s="18">
        <v>691447.43</v>
      </c>
      <c r="P200" s="18">
        <v>114077.69</v>
      </c>
      <c r="Q200" s="18">
        <v>0</v>
      </c>
      <c r="R200" s="28">
        <f t="shared" si="9"/>
        <v>11.182356072236036</v>
      </c>
      <c r="S200" s="28">
        <f t="shared" si="10"/>
        <v>13.44654240405894</v>
      </c>
      <c r="T200" s="28">
        <f t="shared" si="11"/>
        <v>8.5111751190906748</v>
      </c>
    </row>
    <row r="201" spans="1:20">
      <c r="A201" s="20" t="s">
        <v>72</v>
      </c>
      <c r="B201" s="21">
        <v>45689</v>
      </c>
      <c r="C201" s="20" t="s">
        <v>21</v>
      </c>
      <c r="D201" s="20" t="s">
        <v>17</v>
      </c>
      <c r="E201" s="22">
        <v>54002.83</v>
      </c>
      <c r="F201" s="22">
        <v>4366</v>
      </c>
      <c r="G201" s="23">
        <v>2.7E-2</v>
      </c>
      <c r="H201" s="22">
        <v>15</v>
      </c>
      <c r="I201" s="22">
        <v>90.6</v>
      </c>
      <c r="J201" s="29">
        <v>12.82</v>
      </c>
      <c r="K201" s="22">
        <v>0</v>
      </c>
      <c r="L201" s="22">
        <v>0</v>
      </c>
      <c r="M201" s="22">
        <v>4.5999999999999996</v>
      </c>
      <c r="N201" s="22">
        <v>0</v>
      </c>
      <c r="O201" s="22">
        <v>574066.61</v>
      </c>
      <c r="P201" s="22">
        <v>124674.67</v>
      </c>
      <c r="Q201" s="22">
        <v>0</v>
      </c>
      <c r="R201" s="29">
        <f t="shared" si="9"/>
        <v>10.896791731580599</v>
      </c>
      <c r="S201" s="29">
        <f t="shared" si="10"/>
        <v>13.260500713865136</v>
      </c>
      <c r="T201" s="29">
        <f t="shared" si="11"/>
        <v>8.3816025371098899</v>
      </c>
    </row>
    <row r="202" spans="1:20">
      <c r="A202" s="16" t="s">
        <v>72</v>
      </c>
      <c r="B202" s="17">
        <v>45717</v>
      </c>
      <c r="C202" s="16" t="s">
        <v>21</v>
      </c>
      <c r="D202" s="16" t="s">
        <v>17</v>
      </c>
      <c r="E202" s="18">
        <v>54479.33</v>
      </c>
      <c r="F202" s="18">
        <v>5012</v>
      </c>
      <c r="G202" s="19">
        <v>0.28399999999999997</v>
      </c>
      <c r="H202" s="18">
        <v>13</v>
      </c>
      <c r="I202" s="18">
        <v>86</v>
      </c>
      <c r="J202" s="28">
        <v>2.2400000000000002</v>
      </c>
      <c r="K202" s="18">
        <v>0</v>
      </c>
      <c r="L202" s="18">
        <v>1</v>
      </c>
      <c r="M202" s="18">
        <v>4.3</v>
      </c>
      <c r="N202" s="18">
        <v>0</v>
      </c>
      <c r="O202" s="18">
        <v>578949.84</v>
      </c>
      <c r="P202" s="18">
        <v>80253.649999999994</v>
      </c>
      <c r="Q202" s="18">
        <v>0</v>
      </c>
      <c r="R202" s="28">
        <f t="shared" si="9"/>
        <v>10.90557664265673</v>
      </c>
      <c r="S202" s="28">
        <f t="shared" si="10"/>
        <v>13.268971120678001</v>
      </c>
      <c r="T202" s="28">
        <f t="shared" si="11"/>
        <v>8.5195903160159592</v>
      </c>
    </row>
    <row r="203" spans="1:20">
      <c r="A203" s="20" t="s">
        <v>72</v>
      </c>
      <c r="B203" s="21">
        <v>45748</v>
      </c>
      <c r="C203" s="20" t="s">
        <v>21</v>
      </c>
      <c r="D203" s="20" t="s">
        <v>17</v>
      </c>
      <c r="E203" s="22">
        <v>61391.8</v>
      </c>
      <c r="F203" s="22">
        <v>5575</v>
      </c>
      <c r="G203" s="23">
        <v>0.189</v>
      </c>
      <c r="H203" s="22">
        <v>18</v>
      </c>
      <c r="I203" s="22">
        <v>90</v>
      </c>
      <c r="J203" s="29">
        <v>1.8</v>
      </c>
      <c r="K203" s="22">
        <v>0</v>
      </c>
      <c r="L203" s="22">
        <v>0</v>
      </c>
      <c r="M203" s="22">
        <v>4.8</v>
      </c>
      <c r="N203" s="22">
        <v>0</v>
      </c>
      <c r="O203" s="22">
        <v>735786.64</v>
      </c>
      <c r="P203" s="22">
        <v>126540.66</v>
      </c>
      <c r="Q203" s="22">
        <v>0</v>
      </c>
      <c r="R203" s="29">
        <f t="shared" si="9"/>
        <v>11.025031554727974</v>
      </c>
      <c r="S203" s="29">
        <f t="shared" si="10"/>
        <v>13.508695464380059</v>
      </c>
      <c r="T203" s="29">
        <f t="shared" si="11"/>
        <v>8.6260475963283199</v>
      </c>
    </row>
    <row r="204" spans="1:20">
      <c r="A204" s="16" t="s">
        <v>73</v>
      </c>
      <c r="B204" s="17">
        <v>45658</v>
      </c>
      <c r="C204" s="16" t="s">
        <v>16</v>
      </c>
      <c r="D204" s="16" t="s">
        <v>22</v>
      </c>
      <c r="E204" s="18">
        <v>22312.93</v>
      </c>
      <c r="F204" s="18">
        <v>5955</v>
      </c>
      <c r="G204" s="19">
        <v>0.123</v>
      </c>
      <c r="H204" s="18">
        <v>13</v>
      </c>
      <c r="I204" s="18">
        <v>84.2</v>
      </c>
      <c r="J204" s="28">
        <v>0.41</v>
      </c>
      <c r="K204" s="18">
        <v>0</v>
      </c>
      <c r="L204" s="18">
        <v>1</v>
      </c>
      <c r="M204" s="18">
        <v>4.5999999999999996</v>
      </c>
      <c r="N204" s="18">
        <v>0</v>
      </c>
      <c r="O204" s="18">
        <v>598904.9</v>
      </c>
      <c r="P204" s="18">
        <v>72861</v>
      </c>
      <c r="Q204" s="18">
        <v>0</v>
      </c>
      <c r="R204" s="28">
        <f t="shared" si="9"/>
        <v>10.012921610044982</v>
      </c>
      <c r="S204" s="28">
        <f t="shared" si="10"/>
        <v>13.302858099885473</v>
      </c>
      <c r="T204" s="28">
        <f t="shared" si="11"/>
        <v>8.6919864817894013</v>
      </c>
    </row>
    <row r="205" spans="1:20">
      <c r="A205" s="20" t="s">
        <v>73</v>
      </c>
      <c r="B205" s="21">
        <v>45689</v>
      </c>
      <c r="C205" s="20" t="s">
        <v>16</v>
      </c>
      <c r="D205" s="20" t="s">
        <v>22</v>
      </c>
      <c r="E205" s="22">
        <v>78111.97</v>
      </c>
      <c r="F205" s="22">
        <v>6389</v>
      </c>
      <c r="G205" s="23">
        <v>0.15</v>
      </c>
      <c r="H205" s="22">
        <v>13</v>
      </c>
      <c r="I205" s="22">
        <v>83.9</v>
      </c>
      <c r="J205" s="29">
        <v>3.05</v>
      </c>
      <c r="K205" s="22">
        <v>0</v>
      </c>
      <c r="L205" s="22">
        <v>0</v>
      </c>
      <c r="M205" s="22">
        <v>4.8</v>
      </c>
      <c r="N205" s="22">
        <v>0</v>
      </c>
      <c r="O205" s="22">
        <v>787715.51</v>
      </c>
      <c r="P205" s="22">
        <v>128969.62</v>
      </c>
      <c r="Q205" s="22">
        <v>0</v>
      </c>
      <c r="R205" s="29">
        <f t="shared" si="9"/>
        <v>11.265898589128705</v>
      </c>
      <c r="S205" s="29">
        <f t="shared" si="10"/>
        <v>13.576892275734966</v>
      </c>
      <c r="T205" s="29">
        <f t="shared" si="11"/>
        <v>8.7623330406023427</v>
      </c>
    </row>
    <row r="206" spans="1:20">
      <c r="A206" s="16" t="s">
        <v>73</v>
      </c>
      <c r="B206" s="17">
        <v>45717</v>
      </c>
      <c r="C206" s="16" t="s">
        <v>16</v>
      </c>
      <c r="D206" s="16" t="s">
        <v>22</v>
      </c>
      <c r="E206" s="18">
        <v>35203.230000000003</v>
      </c>
      <c r="F206" s="18">
        <v>6896</v>
      </c>
      <c r="G206" s="19">
        <v>3.2000000000000001E-2</v>
      </c>
      <c r="H206" s="18">
        <v>14</v>
      </c>
      <c r="I206" s="18">
        <v>80.8</v>
      </c>
      <c r="J206" s="28">
        <v>8.44</v>
      </c>
      <c r="K206" s="18">
        <v>0</v>
      </c>
      <c r="L206" s="18">
        <v>1</v>
      </c>
      <c r="M206" s="18">
        <v>5</v>
      </c>
      <c r="N206" s="18">
        <v>0</v>
      </c>
      <c r="O206" s="18">
        <v>607084.92000000004</v>
      </c>
      <c r="P206" s="18">
        <v>98558.49</v>
      </c>
      <c r="Q206" s="18">
        <v>0</v>
      </c>
      <c r="R206" s="28">
        <f t="shared" si="9"/>
        <v>10.468893118740009</v>
      </c>
      <c r="S206" s="28">
        <f t="shared" si="10"/>
        <v>13.316423961409594</v>
      </c>
      <c r="T206" s="28">
        <f t="shared" si="11"/>
        <v>8.8386968123435299</v>
      </c>
    </row>
    <row r="207" spans="1:20">
      <c r="A207" s="20" t="s">
        <v>73</v>
      </c>
      <c r="B207" s="21">
        <v>45748</v>
      </c>
      <c r="C207" s="20" t="s">
        <v>16</v>
      </c>
      <c r="D207" s="20" t="s">
        <v>22</v>
      </c>
      <c r="E207" s="22">
        <v>64104.28</v>
      </c>
      <c r="F207" s="22">
        <v>6015</v>
      </c>
      <c r="G207" s="23">
        <v>0.127</v>
      </c>
      <c r="H207" s="22">
        <v>15</v>
      </c>
      <c r="I207" s="22">
        <v>88.7</v>
      </c>
      <c r="J207" s="29">
        <v>0.78</v>
      </c>
      <c r="K207" s="22">
        <v>0</v>
      </c>
      <c r="L207" s="22">
        <v>0</v>
      </c>
      <c r="M207" s="22">
        <v>4</v>
      </c>
      <c r="N207" s="22">
        <v>0</v>
      </c>
      <c r="O207" s="22">
        <v>650795.49</v>
      </c>
      <c r="P207" s="22">
        <v>103035.89</v>
      </c>
      <c r="Q207" s="22">
        <v>0</v>
      </c>
      <c r="R207" s="29">
        <f t="shared" si="9"/>
        <v>11.068266411350526</v>
      </c>
      <c r="S207" s="29">
        <f t="shared" si="10"/>
        <v>13.385950724370616</v>
      </c>
      <c r="T207" s="29">
        <f t="shared" si="11"/>
        <v>8.7020116284087798</v>
      </c>
    </row>
    <row r="208" spans="1:20">
      <c r="A208" s="16" t="s">
        <v>74</v>
      </c>
      <c r="B208" s="17">
        <v>45658</v>
      </c>
      <c r="C208" s="16" t="s">
        <v>16</v>
      </c>
      <c r="D208" s="16" t="s">
        <v>29</v>
      </c>
      <c r="E208" s="18">
        <v>92090.14</v>
      </c>
      <c r="F208" s="18">
        <v>9476</v>
      </c>
      <c r="G208" s="19">
        <v>7.0000000000000007E-2</v>
      </c>
      <c r="H208" s="18">
        <v>24</v>
      </c>
      <c r="I208" s="18">
        <v>94.3</v>
      </c>
      <c r="J208" s="28">
        <v>0.87</v>
      </c>
      <c r="K208" s="18">
        <v>0</v>
      </c>
      <c r="L208" s="18">
        <v>0</v>
      </c>
      <c r="M208" s="18">
        <v>3.7</v>
      </c>
      <c r="N208" s="18">
        <v>0</v>
      </c>
      <c r="O208" s="18">
        <v>825060.52</v>
      </c>
      <c r="P208" s="18">
        <v>143613.15</v>
      </c>
      <c r="Q208" s="18">
        <v>0</v>
      </c>
      <c r="R208" s="28">
        <f t="shared" si="9"/>
        <v>11.430523158966185</v>
      </c>
      <c r="S208" s="28">
        <f t="shared" si="10"/>
        <v>13.62321202020204</v>
      </c>
      <c r="T208" s="28">
        <f t="shared" si="11"/>
        <v>9.1565175652786763</v>
      </c>
    </row>
    <row r="209" spans="1:20">
      <c r="A209" s="20" t="s">
        <v>74</v>
      </c>
      <c r="B209" s="21">
        <v>45689</v>
      </c>
      <c r="C209" s="20" t="s">
        <v>16</v>
      </c>
      <c r="D209" s="20" t="s">
        <v>29</v>
      </c>
      <c r="E209" s="22">
        <v>54300.87</v>
      </c>
      <c r="F209" s="22">
        <v>7875</v>
      </c>
      <c r="G209" s="23">
        <v>0.107</v>
      </c>
      <c r="H209" s="22">
        <v>19</v>
      </c>
      <c r="I209" s="22">
        <v>94.1</v>
      </c>
      <c r="J209" s="29">
        <v>0.95</v>
      </c>
      <c r="K209" s="22">
        <v>0</v>
      </c>
      <c r="L209" s="22">
        <v>0</v>
      </c>
      <c r="M209" s="22">
        <v>3.7</v>
      </c>
      <c r="N209" s="22">
        <v>0</v>
      </c>
      <c r="O209" s="22">
        <v>795464.47</v>
      </c>
      <c r="P209" s="22">
        <v>161150.51999999999</v>
      </c>
      <c r="Q209" s="22">
        <v>0</v>
      </c>
      <c r="R209" s="29">
        <f t="shared" si="9"/>
        <v>10.902295527893122</v>
      </c>
      <c r="S209" s="29">
        <f t="shared" si="10"/>
        <v>13.586681462029023</v>
      </c>
      <c r="T209" s="29">
        <f t="shared" si="11"/>
        <v>8.9714484636938341</v>
      </c>
    </row>
    <row r="210" spans="1:20">
      <c r="A210" s="16" t="s">
        <v>74</v>
      </c>
      <c r="B210" s="17">
        <v>45717</v>
      </c>
      <c r="C210" s="16" t="s">
        <v>16</v>
      </c>
      <c r="D210" s="16" t="s">
        <v>29</v>
      </c>
      <c r="E210" s="18">
        <v>37983.35</v>
      </c>
      <c r="F210" s="18">
        <v>9283</v>
      </c>
      <c r="G210" s="19">
        <v>0.14899999999999999</v>
      </c>
      <c r="H210" s="18">
        <v>19</v>
      </c>
      <c r="I210" s="18">
        <v>83.2</v>
      </c>
      <c r="J210" s="28">
        <v>3.82</v>
      </c>
      <c r="K210" s="18">
        <v>0</v>
      </c>
      <c r="L210" s="18">
        <v>0</v>
      </c>
      <c r="M210" s="18">
        <v>3.7</v>
      </c>
      <c r="N210" s="18">
        <v>0</v>
      </c>
      <c r="O210" s="18">
        <v>671868.59</v>
      </c>
      <c r="P210" s="18">
        <v>71003.28</v>
      </c>
      <c r="Q210" s="18">
        <v>0</v>
      </c>
      <c r="R210" s="28">
        <f t="shared" si="9"/>
        <v>10.544903184794567</v>
      </c>
      <c r="S210" s="28">
        <f t="shared" si="10"/>
        <v>13.417818049787538</v>
      </c>
      <c r="T210" s="28">
        <f t="shared" si="11"/>
        <v>9.1359400493999328</v>
      </c>
    </row>
    <row r="211" spans="1:20">
      <c r="A211" s="20" t="s">
        <v>74</v>
      </c>
      <c r="B211" s="21">
        <v>45748</v>
      </c>
      <c r="C211" s="20" t="s">
        <v>16</v>
      </c>
      <c r="D211" s="20" t="s">
        <v>29</v>
      </c>
      <c r="E211" s="22">
        <v>56413.83</v>
      </c>
      <c r="F211" s="22">
        <v>8303</v>
      </c>
      <c r="G211" s="23">
        <v>0.11600000000000001</v>
      </c>
      <c r="H211" s="22">
        <v>18</v>
      </c>
      <c r="I211" s="22">
        <v>93.6</v>
      </c>
      <c r="J211" s="29">
        <v>2.7</v>
      </c>
      <c r="K211" s="22">
        <v>0</v>
      </c>
      <c r="L211" s="22">
        <v>0</v>
      </c>
      <c r="M211" s="22">
        <v>3.7</v>
      </c>
      <c r="N211" s="22">
        <v>0</v>
      </c>
      <c r="O211" s="22">
        <v>675917.63</v>
      </c>
      <c r="P211" s="22">
        <v>112564.75</v>
      </c>
      <c r="Q211" s="22">
        <v>0</v>
      </c>
      <c r="R211" s="29">
        <f t="shared" si="9"/>
        <v>10.940469620192371</v>
      </c>
      <c r="S211" s="29">
        <f t="shared" si="10"/>
        <v>13.423826498488468</v>
      </c>
      <c r="T211" s="29">
        <f t="shared" si="11"/>
        <v>9.0243721742620302</v>
      </c>
    </row>
    <row r="212" spans="1:20">
      <c r="A212" s="16" t="s">
        <v>75</v>
      </c>
      <c r="B212" s="17">
        <v>45658</v>
      </c>
      <c r="C212" s="16" t="s">
        <v>16</v>
      </c>
      <c r="D212" s="16" t="s">
        <v>19</v>
      </c>
      <c r="E212" s="18">
        <v>63457.19</v>
      </c>
      <c r="F212" s="18">
        <v>10125</v>
      </c>
      <c r="G212" s="19">
        <v>9.7000000000000003E-2</v>
      </c>
      <c r="H212" s="18">
        <v>24</v>
      </c>
      <c r="I212" s="18">
        <v>87</v>
      </c>
      <c r="J212" s="28">
        <v>3.84</v>
      </c>
      <c r="K212" s="18">
        <v>0</v>
      </c>
      <c r="L212" s="18">
        <v>1</v>
      </c>
      <c r="M212" s="18">
        <v>3.7</v>
      </c>
      <c r="N212" s="18">
        <v>0</v>
      </c>
      <c r="O212" s="18">
        <v>810446.53</v>
      </c>
      <c r="P212" s="18">
        <v>200575.34</v>
      </c>
      <c r="Q212" s="18">
        <v>0</v>
      </c>
      <c r="R212" s="28">
        <f t="shared" si="9"/>
        <v>11.058120784295475</v>
      </c>
      <c r="S212" s="28">
        <f t="shared" si="10"/>
        <v>13.60534064635919</v>
      </c>
      <c r="T212" s="28">
        <f t="shared" si="11"/>
        <v>9.2227628919747406</v>
      </c>
    </row>
    <row r="213" spans="1:20">
      <c r="A213" s="20" t="s">
        <v>75</v>
      </c>
      <c r="B213" s="21">
        <v>45689</v>
      </c>
      <c r="C213" s="20" t="s">
        <v>16</v>
      </c>
      <c r="D213" s="20" t="s">
        <v>19</v>
      </c>
      <c r="E213" s="22">
        <v>62949.7</v>
      </c>
      <c r="F213" s="22">
        <v>9458</v>
      </c>
      <c r="G213" s="23">
        <v>0.17100000000000001</v>
      </c>
      <c r="H213" s="22">
        <v>19</v>
      </c>
      <c r="I213" s="22">
        <v>84.9</v>
      </c>
      <c r="J213" s="29">
        <v>5.09</v>
      </c>
      <c r="K213" s="22">
        <v>0</v>
      </c>
      <c r="L213" s="22">
        <v>0</v>
      </c>
      <c r="M213" s="22">
        <v>3.3</v>
      </c>
      <c r="N213" s="22">
        <v>0</v>
      </c>
      <c r="O213" s="22">
        <v>691288.19</v>
      </c>
      <c r="P213" s="22">
        <v>159074.14000000001</v>
      </c>
      <c r="Q213" s="22">
        <v>0</v>
      </c>
      <c r="R213" s="29">
        <f t="shared" si="9"/>
        <v>11.050091273774084</v>
      </c>
      <c r="S213" s="29">
        <f t="shared" si="10"/>
        <v>13.446312078032184</v>
      </c>
      <c r="T213" s="29">
        <f t="shared" si="11"/>
        <v>9.1546162232038206</v>
      </c>
    </row>
    <row r="214" spans="1:20">
      <c r="A214" s="16" t="s">
        <v>75</v>
      </c>
      <c r="B214" s="17">
        <v>45717</v>
      </c>
      <c r="C214" s="16" t="s">
        <v>16</v>
      </c>
      <c r="D214" s="16" t="s">
        <v>19</v>
      </c>
      <c r="E214" s="18">
        <v>107970.19</v>
      </c>
      <c r="F214" s="18">
        <v>12870</v>
      </c>
      <c r="G214" s="19">
        <v>2.9000000000000001E-2</v>
      </c>
      <c r="H214" s="18">
        <v>31</v>
      </c>
      <c r="I214" s="18">
        <v>91.7</v>
      </c>
      <c r="J214" s="28">
        <v>3.82</v>
      </c>
      <c r="K214" s="18">
        <v>0</v>
      </c>
      <c r="L214" s="18">
        <v>1</v>
      </c>
      <c r="M214" s="18">
        <v>3.7</v>
      </c>
      <c r="N214" s="18">
        <v>0</v>
      </c>
      <c r="O214" s="18">
        <v>946833.54</v>
      </c>
      <c r="P214" s="18">
        <v>184540.31</v>
      </c>
      <c r="Q214" s="18">
        <v>0</v>
      </c>
      <c r="R214" s="28">
        <f t="shared" si="9"/>
        <v>11.589610449487717</v>
      </c>
      <c r="S214" s="28">
        <f t="shared" si="10"/>
        <v>13.760878580582617</v>
      </c>
      <c r="T214" s="28">
        <f t="shared" si="11"/>
        <v>9.462654300590172</v>
      </c>
    </row>
    <row r="215" spans="1:20">
      <c r="A215" s="20" t="s">
        <v>75</v>
      </c>
      <c r="B215" s="21">
        <v>45748</v>
      </c>
      <c r="C215" s="20" t="s">
        <v>16</v>
      </c>
      <c r="D215" s="20" t="s">
        <v>19</v>
      </c>
      <c r="E215" s="22">
        <v>49405.75</v>
      </c>
      <c r="F215" s="22">
        <v>9752</v>
      </c>
      <c r="G215" s="23">
        <v>9.2999999999999999E-2</v>
      </c>
      <c r="H215" s="22">
        <v>21</v>
      </c>
      <c r="I215" s="22">
        <v>87</v>
      </c>
      <c r="J215" s="29">
        <v>12.28</v>
      </c>
      <c r="K215" s="22">
        <v>0</v>
      </c>
      <c r="L215" s="22">
        <v>0</v>
      </c>
      <c r="M215" s="22">
        <v>4.0999999999999996</v>
      </c>
      <c r="N215" s="22">
        <v>0</v>
      </c>
      <c r="O215" s="22">
        <v>761963.23</v>
      </c>
      <c r="P215" s="22">
        <v>150113.60999999999</v>
      </c>
      <c r="Q215" s="22">
        <v>0</v>
      </c>
      <c r="R215" s="29">
        <f t="shared" si="9"/>
        <v>10.807822093163571</v>
      </c>
      <c r="S215" s="29">
        <f t="shared" si="10"/>
        <v>13.543653578911318</v>
      </c>
      <c r="T215" s="29">
        <f t="shared" si="11"/>
        <v>9.1852276711611083</v>
      </c>
    </row>
    <row r="216" spans="1:20">
      <c r="A216" s="16" t="s">
        <v>76</v>
      </c>
      <c r="B216" s="17">
        <v>45658</v>
      </c>
      <c r="C216" s="16" t="s">
        <v>28</v>
      </c>
      <c r="D216" s="16" t="s">
        <v>17</v>
      </c>
      <c r="E216" s="18">
        <v>50887.46</v>
      </c>
      <c r="F216" s="18">
        <v>9505</v>
      </c>
      <c r="G216" s="19">
        <v>9.0999999999999998E-2</v>
      </c>
      <c r="H216" s="18">
        <v>25</v>
      </c>
      <c r="I216" s="18">
        <v>89.7</v>
      </c>
      <c r="J216" s="28">
        <v>2.8</v>
      </c>
      <c r="K216" s="18">
        <v>0</v>
      </c>
      <c r="L216" s="18">
        <v>0</v>
      </c>
      <c r="M216" s="18">
        <v>4.3</v>
      </c>
      <c r="N216" s="18">
        <v>0</v>
      </c>
      <c r="O216" s="18">
        <v>812152.6</v>
      </c>
      <c r="P216" s="18">
        <v>138419.43</v>
      </c>
      <c r="Q216" s="18">
        <v>0</v>
      </c>
      <c r="R216" s="28">
        <f t="shared" si="9"/>
        <v>10.83737180676327</v>
      </c>
      <c r="S216" s="28">
        <f t="shared" si="10"/>
        <v>13.607443532521472</v>
      </c>
      <c r="T216" s="28">
        <f t="shared" si="11"/>
        <v>9.1595732549225293</v>
      </c>
    </row>
    <row r="217" spans="1:20">
      <c r="A217" s="20" t="s">
        <v>76</v>
      </c>
      <c r="B217" s="21">
        <v>45689</v>
      </c>
      <c r="C217" s="20" t="s">
        <v>28</v>
      </c>
      <c r="D217" s="20" t="s">
        <v>17</v>
      </c>
      <c r="E217" s="22">
        <v>41819.449999999997</v>
      </c>
      <c r="F217" s="22">
        <v>9412</v>
      </c>
      <c r="G217" s="23">
        <v>0.15</v>
      </c>
      <c r="H217" s="22">
        <v>22</v>
      </c>
      <c r="I217" s="22">
        <v>91</v>
      </c>
      <c r="J217" s="29">
        <v>3.67</v>
      </c>
      <c r="K217" s="22">
        <v>0</v>
      </c>
      <c r="L217" s="22">
        <v>0</v>
      </c>
      <c r="M217" s="22">
        <v>4.2</v>
      </c>
      <c r="N217" s="22">
        <v>0</v>
      </c>
      <c r="O217" s="22">
        <v>804975.5</v>
      </c>
      <c r="P217" s="22">
        <v>140054.5</v>
      </c>
      <c r="Q217" s="22">
        <v>0</v>
      </c>
      <c r="R217" s="29">
        <f t="shared" si="9"/>
        <v>10.641116821294037</v>
      </c>
      <c r="S217" s="29">
        <f t="shared" si="10"/>
        <v>13.598567121154945</v>
      </c>
      <c r="T217" s="29">
        <f t="shared" si="11"/>
        <v>9.1497407498472523</v>
      </c>
    </row>
    <row r="218" spans="1:20">
      <c r="A218" s="16" t="s">
        <v>76</v>
      </c>
      <c r="B218" s="17">
        <v>45717</v>
      </c>
      <c r="C218" s="16" t="s">
        <v>28</v>
      </c>
      <c r="D218" s="16" t="s">
        <v>17</v>
      </c>
      <c r="E218" s="18">
        <v>35296.54</v>
      </c>
      <c r="F218" s="18">
        <v>9644</v>
      </c>
      <c r="G218" s="19">
        <v>0</v>
      </c>
      <c r="H218" s="18">
        <v>22</v>
      </c>
      <c r="I218" s="18">
        <v>88</v>
      </c>
      <c r="J218" s="28">
        <v>2.81</v>
      </c>
      <c r="K218" s="18">
        <v>0</v>
      </c>
      <c r="L218" s="18">
        <v>0</v>
      </c>
      <c r="M218" s="18">
        <v>4.7</v>
      </c>
      <c r="N218" s="18">
        <v>0</v>
      </c>
      <c r="O218" s="18">
        <v>752321.72</v>
      </c>
      <c r="P218" s="18">
        <v>137788.51</v>
      </c>
      <c r="Q218" s="18">
        <v>0</v>
      </c>
      <c r="R218" s="28">
        <f t="shared" si="9"/>
        <v>10.471540221120241</v>
      </c>
      <c r="S218" s="28">
        <f t="shared" si="10"/>
        <v>13.530919330592393</v>
      </c>
      <c r="T218" s="28">
        <f t="shared" si="11"/>
        <v>9.1740912393010614</v>
      </c>
    </row>
    <row r="219" spans="1:20">
      <c r="A219" s="20" t="s">
        <v>76</v>
      </c>
      <c r="B219" s="21">
        <v>45748</v>
      </c>
      <c r="C219" s="20" t="s">
        <v>28</v>
      </c>
      <c r="D219" s="20" t="s">
        <v>17</v>
      </c>
      <c r="E219" s="22">
        <v>47391.09</v>
      </c>
      <c r="F219" s="22">
        <v>11224</v>
      </c>
      <c r="G219" s="23">
        <v>0.14699999999999999</v>
      </c>
      <c r="H219" s="22">
        <v>25</v>
      </c>
      <c r="I219" s="22">
        <v>88.4</v>
      </c>
      <c r="J219" s="29">
        <v>2.44</v>
      </c>
      <c r="K219" s="22">
        <v>0</v>
      </c>
      <c r="L219" s="22">
        <v>0</v>
      </c>
      <c r="M219" s="22">
        <v>4.9000000000000004</v>
      </c>
      <c r="N219" s="22">
        <v>0</v>
      </c>
      <c r="O219" s="22">
        <v>836908.24</v>
      </c>
      <c r="P219" s="22">
        <v>141090.26</v>
      </c>
      <c r="Q219" s="22">
        <v>0</v>
      </c>
      <c r="R219" s="29">
        <f t="shared" si="9"/>
        <v>10.766189515330169</v>
      </c>
      <c r="S219" s="29">
        <f t="shared" si="10"/>
        <v>13.637469713832216</v>
      </c>
      <c r="T219" s="29">
        <f t="shared" si="11"/>
        <v>9.3258096217822963</v>
      </c>
    </row>
    <row r="220" spans="1:20">
      <c r="A220" s="16" t="s">
        <v>77</v>
      </c>
      <c r="B220" s="17">
        <v>45658</v>
      </c>
      <c r="C220" s="16" t="s">
        <v>21</v>
      </c>
      <c r="D220" s="16" t="s">
        <v>22</v>
      </c>
      <c r="E220" s="18">
        <v>69180.539999999994</v>
      </c>
      <c r="F220" s="18">
        <v>5394</v>
      </c>
      <c r="G220" s="19">
        <v>0.126</v>
      </c>
      <c r="H220" s="18">
        <v>12</v>
      </c>
      <c r="I220" s="18">
        <v>82.9</v>
      </c>
      <c r="J220" s="28">
        <v>3.27</v>
      </c>
      <c r="K220" s="18">
        <v>0</v>
      </c>
      <c r="L220" s="18">
        <v>0</v>
      </c>
      <c r="M220" s="18">
        <v>3.3</v>
      </c>
      <c r="N220" s="18">
        <v>0</v>
      </c>
      <c r="O220" s="18">
        <v>674289.1</v>
      </c>
      <c r="P220" s="18">
        <v>117773.79</v>
      </c>
      <c r="Q220" s="18">
        <v>0</v>
      </c>
      <c r="R220" s="28">
        <f t="shared" si="9"/>
        <v>11.144474888184893</v>
      </c>
      <c r="S220" s="28">
        <f t="shared" si="10"/>
        <v>13.421414229680259</v>
      </c>
      <c r="T220" s="28">
        <f t="shared" si="11"/>
        <v>8.5930425036996745</v>
      </c>
    </row>
    <row r="221" spans="1:20">
      <c r="A221" s="20" t="s">
        <v>77</v>
      </c>
      <c r="B221" s="21">
        <v>45689</v>
      </c>
      <c r="C221" s="20" t="s">
        <v>21</v>
      </c>
      <c r="D221" s="20" t="s">
        <v>22</v>
      </c>
      <c r="E221" s="22">
        <v>33987.33</v>
      </c>
      <c r="F221" s="22">
        <v>5014</v>
      </c>
      <c r="G221" s="23">
        <v>0.246</v>
      </c>
      <c r="H221" s="22">
        <v>17</v>
      </c>
      <c r="I221" s="22">
        <v>94.3</v>
      </c>
      <c r="J221" s="29">
        <v>10.34</v>
      </c>
      <c r="K221" s="22">
        <v>0</v>
      </c>
      <c r="L221" s="22">
        <v>0</v>
      </c>
      <c r="M221" s="22">
        <v>3.9</v>
      </c>
      <c r="N221" s="22">
        <v>0</v>
      </c>
      <c r="O221" s="22">
        <v>622892.42000000004</v>
      </c>
      <c r="P221" s="22">
        <v>101032.52</v>
      </c>
      <c r="Q221" s="22">
        <v>0</v>
      </c>
      <c r="R221" s="29">
        <f t="shared" si="9"/>
        <v>10.433743087089306</v>
      </c>
      <c r="S221" s="29">
        <f t="shared" si="10"/>
        <v>13.342129102280733</v>
      </c>
      <c r="T221" s="29">
        <f t="shared" si="11"/>
        <v>8.5199892787182385</v>
      </c>
    </row>
    <row r="222" spans="1:20">
      <c r="A222" s="16" t="s">
        <v>77</v>
      </c>
      <c r="B222" s="17">
        <v>45717</v>
      </c>
      <c r="C222" s="16" t="s">
        <v>21</v>
      </c>
      <c r="D222" s="16" t="s">
        <v>22</v>
      </c>
      <c r="E222" s="18">
        <v>58785.33</v>
      </c>
      <c r="F222" s="18">
        <v>4467</v>
      </c>
      <c r="G222" s="19">
        <v>0.22900000000000001</v>
      </c>
      <c r="H222" s="18">
        <v>14</v>
      </c>
      <c r="I222" s="18">
        <v>90.7</v>
      </c>
      <c r="J222" s="28">
        <v>1.92</v>
      </c>
      <c r="K222" s="18">
        <v>0</v>
      </c>
      <c r="L222" s="18">
        <v>0</v>
      </c>
      <c r="M222" s="18">
        <v>3.7</v>
      </c>
      <c r="N222" s="18">
        <v>0</v>
      </c>
      <c r="O222" s="18">
        <v>673348.56</v>
      </c>
      <c r="P222" s="18">
        <v>69464.59</v>
      </c>
      <c r="Q222" s="18">
        <v>0</v>
      </c>
      <c r="R222" s="28">
        <f t="shared" si="9"/>
        <v>10.981647612963043</v>
      </c>
      <c r="S222" s="28">
        <f t="shared" si="10"/>
        <v>13.420018394314974</v>
      </c>
      <c r="T222" s="28">
        <f t="shared" si="11"/>
        <v>8.4044723213521184</v>
      </c>
    </row>
    <row r="223" spans="1:20">
      <c r="A223" s="20" t="s">
        <v>77</v>
      </c>
      <c r="B223" s="21">
        <v>45748</v>
      </c>
      <c r="C223" s="20" t="s">
        <v>21</v>
      </c>
      <c r="D223" s="20" t="s">
        <v>22</v>
      </c>
      <c r="E223" s="22">
        <v>16451.849999999999</v>
      </c>
      <c r="F223" s="22">
        <v>4678</v>
      </c>
      <c r="G223" s="23">
        <v>0.13300000000000001</v>
      </c>
      <c r="H223" s="22">
        <v>11</v>
      </c>
      <c r="I223" s="22">
        <v>95.9</v>
      </c>
      <c r="J223" s="29">
        <v>3.1</v>
      </c>
      <c r="K223" s="22">
        <v>0</v>
      </c>
      <c r="L223" s="22">
        <v>0</v>
      </c>
      <c r="M223" s="22">
        <v>3.9</v>
      </c>
      <c r="N223" s="22">
        <v>0</v>
      </c>
      <c r="O223" s="22">
        <v>606278.30000000005</v>
      </c>
      <c r="P223" s="22">
        <v>102213.26</v>
      </c>
      <c r="Q223" s="22">
        <v>0</v>
      </c>
      <c r="R223" s="29">
        <f t="shared" si="9"/>
        <v>9.7081932118762193</v>
      </c>
      <c r="S223" s="29">
        <f t="shared" si="10"/>
        <v>13.315094400556704</v>
      </c>
      <c r="T223" s="29">
        <f t="shared" si="11"/>
        <v>8.4506259471441236</v>
      </c>
    </row>
    <row r="224" spans="1:20">
      <c r="A224" s="16" t="s">
        <v>78</v>
      </c>
      <c r="B224" s="17">
        <v>45658</v>
      </c>
      <c r="C224" s="16" t="s">
        <v>16</v>
      </c>
      <c r="D224" s="16" t="s">
        <v>19</v>
      </c>
      <c r="E224" s="18">
        <v>53367.73</v>
      </c>
      <c r="F224" s="18">
        <v>7291</v>
      </c>
      <c r="G224" s="19">
        <v>0.14599999999999999</v>
      </c>
      <c r="H224" s="18">
        <v>18</v>
      </c>
      <c r="I224" s="18">
        <v>90.6</v>
      </c>
      <c r="J224" s="28">
        <v>6.34</v>
      </c>
      <c r="K224" s="18">
        <v>0</v>
      </c>
      <c r="L224" s="18">
        <v>1</v>
      </c>
      <c r="M224" s="18">
        <v>3.8</v>
      </c>
      <c r="N224" s="18">
        <v>0</v>
      </c>
      <c r="O224" s="18">
        <v>712219.81</v>
      </c>
      <c r="P224" s="18">
        <v>85906.54</v>
      </c>
      <c r="Q224" s="18">
        <v>0</v>
      </c>
      <c r="R224" s="28">
        <f t="shared" si="9"/>
        <v>10.884961535165042</v>
      </c>
      <c r="S224" s="28">
        <f t="shared" si="10"/>
        <v>13.476141864659422</v>
      </c>
      <c r="T224" s="28">
        <f t="shared" si="11"/>
        <v>8.89439598980643</v>
      </c>
    </row>
    <row r="225" spans="1:20">
      <c r="A225" s="20" t="s">
        <v>78</v>
      </c>
      <c r="B225" s="21">
        <v>45689</v>
      </c>
      <c r="C225" s="20" t="s">
        <v>16</v>
      </c>
      <c r="D225" s="20" t="s">
        <v>19</v>
      </c>
      <c r="E225" s="22">
        <v>27194.639999999999</v>
      </c>
      <c r="F225" s="22">
        <v>7404</v>
      </c>
      <c r="G225" s="23">
        <v>8.7999999999999995E-2</v>
      </c>
      <c r="H225" s="22">
        <v>18</v>
      </c>
      <c r="I225" s="22">
        <v>90.2</v>
      </c>
      <c r="J225" s="29">
        <v>1.2</v>
      </c>
      <c r="K225" s="22">
        <v>0</v>
      </c>
      <c r="L225" s="22">
        <v>0</v>
      </c>
      <c r="M225" s="22">
        <v>3.4</v>
      </c>
      <c r="N225" s="22">
        <v>0</v>
      </c>
      <c r="O225" s="22">
        <v>672670.54</v>
      </c>
      <c r="P225" s="22">
        <v>132684.18</v>
      </c>
      <c r="Q225" s="22">
        <v>0</v>
      </c>
      <c r="R225" s="29">
        <f t="shared" si="9"/>
        <v>10.210775174041919</v>
      </c>
      <c r="S225" s="29">
        <f t="shared" si="10"/>
        <v>13.419010949387415</v>
      </c>
      <c r="T225" s="29">
        <f t="shared" si="11"/>
        <v>8.9097756736933889</v>
      </c>
    </row>
    <row r="226" spans="1:20">
      <c r="A226" s="16" t="s">
        <v>78</v>
      </c>
      <c r="B226" s="17">
        <v>45717</v>
      </c>
      <c r="C226" s="16" t="s">
        <v>16</v>
      </c>
      <c r="D226" s="16" t="s">
        <v>19</v>
      </c>
      <c r="E226" s="18">
        <v>66962.740000000005</v>
      </c>
      <c r="F226" s="18">
        <v>7880</v>
      </c>
      <c r="G226" s="19">
        <v>0.11600000000000001</v>
      </c>
      <c r="H226" s="18">
        <v>19</v>
      </c>
      <c r="I226" s="18">
        <v>90.4</v>
      </c>
      <c r="J226" s="28">
        <v>4.5</v>
      </c>
      <c r="K226" s="18">
        <v>0</v>
      </c>
      <c r="L226" s="18">
        <v>0</v>
      </c>
      <c r="M226" s="18">
        <v>3.3</v>
      </c>
      <c r="N226" s="18">
        <v>0</v>
      </c>
      <c r="O226" s="18">
        <v>732667.92</v>
      </c>
      <c r="P226" s="18">
        <v>128654.46</v>
      </c>
      <c r="Q226" s="18">
        <v>0</v>
      </c>
      <c r="R226" s="28">
        <f t="shared" si="9"/>
        <v>11.111891624278369</v>
      </c>
      <c r="S226" s="28">
        <f t="shared" si="10"/>
        <v>13.504447835922173</v>
      </c>
      <c r="T226" s="28">
        <f t="shared" si="11"/>
        <v>8.9720831828519252</v>
      </c>
    </row>
    <row r="227" spans="1:20">
      <c r="A227" s="20" t="s">
        <v>78</v>
      </c>
      <c r="B227" s="21">
        <v>45748</v>
      </c>
      <c r="C227" s="20" t="s">
        <v>16</v>
      </c>
      <c r="D227" s="20" t="s">
        <v>19</v>
      </c>
      <c r="E227" s="22">
        <v>73540.990000000005</v>
      </c>
      <c r="F227" s="22">
        <v>8773</v>
      </c>
      <c r="G227" s="23">
        <v>3.5000000000000003E-2</v>
      </c>
      <c r="H227" s="22">
        <v>21</v>
      </c>
      <c r="I227" s="22">
        <v>84.4</v>
      </c>
      <c r="J227" s="29">
        <v>6.68</v>
      </c>
      <c r="K227" s="22">
        <v>0</v>
      </c>
      <c r="L227" s="22">
        <v>0</v>
      </c>
      <c r="M227" s="22">
        <v>3.6</v>
      </c>
      <c r="N227" s="22">
        <v>0</v>
      </c>
      <c r="O227" s="22">
        <v>723531.4</v>
      </c>
      <c r="P227" s="22">
        <v>108794.85</v>
      </c>
      <c r="Q227" s="22">
        <v>0</v>
      </c>
      <c r="R227" s="29">
        <f t="shared" si="9"/>
        <v>11.205598216826113</v>
      </c>
      <c r="S227" s="29">
        <f t="shared" si="10"/>
        <v>13.491899224250133</v>
      </c>
      <c r="T227" s="29">
        <f t="shared" si="11"/>
        <v>9.0794341021283831</v>
      </c>
    </row>
    <row r="228" spans="1:20">
      <c r="A228" s="16" t="s">
        <v>79</v>
      </c>
      <c r="B228" s="17">
        <v>45658</v>
      </c>
      <c r="C228" s="16" t="s">
        <v>16</v>
      </c>
      <c r="D228" s="16" t="s">
        <v>29</v>
      </c>
      <c r="E228" s="18">
        <v>68212.289999999994</v>
      </c>
      <c r="F228" s="18">
        <v>4713</v>
      </c>
      <c r="G228" s="19">
        <v>0.19800000000000001</v>
      </c>
      <c r="H228" s="18">
        <v>15</v>
      </c>
      <c r="I228" s="18">
        <v>82.6</v>
      </c>
      <c r="J228" s="28">
        <v>4.07</v>
      </c>
      <c r="K228" s="18">
        <v>0</v>
      </c>
      <c r="L228" s="18">
        <v>1</v>
      </c>
      <c r="M228" s="18">
        <v>3</v>
      </c>
      <c r="N228" s="18">
        <v>0</v>
      </c>
      <c r="O228" s="18">
        <v>641564.6</v>
      </c>
      <c r="P228" s="18">
        <v>90468.96</v>
      </c>
      <c r="Q228" s="18">
        <v>0</v>
      </c>
      <c r="R228" s="28">
        <f t="shared" si="9"/>
        <v>11.130380032875125</v>
      </c>
      <c r="S228" s="28">
        <f t="shared" si="10"/>
        <v>13.371665159448678</v>
      </c>
      <c r="T228" s="28">
        <f t="shared" si="11"/>
        <v>8.4580799269237303</v>
      </c>
    </row>
    <row r="229" spans="1:20">
      <c r="A229" s="20" t="s">
        <v>79</v>
      </c>
      <c r="B229" s="21">
        <v>45689</v>
      </c>
      <c r="C229" s="20" t="s">
        <v>16</v>
      </c>
      <c r="D229" s="20" t="s">
        <v>29</v>
      </c>
      <c r="E229" s="22">
        <v>57225.98</v>
      </c>
      <c r="F229" s="22">
        <v>2842</v>
      </c>
      <c r="G229" s="23">
        <v>0.112</v>
      </c>
      <c r="H229" s="22">
        <v>10</v>
      </c>
      <c r="I229" s="22">
        <v>79.5</v>
      </c>
      <c r="J229" s="29">
        <v>5.45</v>
      </c>
      <c r="K229" s="22">
        <v>0</v>
      </c>
      <c r="L229" s="22">
        <v>0</v>
      </c>
      <c r="M229" s="22">
        <v>3.4</v>
      </c>
      <c r="N229" s="22">
        <v>0</v>
      </c>
      <c r="O229" s="22">
        <v>536545.49</v>
      </c>
      <c r="P229" s="22">
        <v>97917.45</v>
      </c>
      <c r="Q229" s="22">
        <v>0</v>
      </c>
      <c r="R229" s="29">
        <f t="shared" si="9"/>
        <v>10.954763270056393</v>
      </c>
      <c r="S229" s="29">
        <f t="shared" si="10"/>
        <v>13.192906627765945</v>
      </c>
      <c r="T229" s="29">
        <f t="shared" si="11"/>
        <v>7.952263308657046</v>
      </c>
    </row>
    <row r="230" spans="1:20">
      <c r="A230" s="16" t="s">
        <v>79</v>
      </c>
      <c r="B230" s="17">
        <v>45717</v>
      </c>
      <c r="C230" s="16" t="s">
        <v>16</v>
      </c>
      <c r="D230" s="16" t="s">
        <v>29</v>
      </c>
      <c r="E230" s="18">
        <v>42932.02</v>
      </c>
      <c r="F230" s="18">
        <v>3872</v>
      </c>
      <c r="G230" s="19">
        <v>0.17100000000000001</v>
      </c>
      <c r="H230" s="18">
        <v>12</v>
      </c>
      <c r="I230" s="18">
        <v>83.2</v>
      </c>
      <c r="J230" s="28">
        <v>15.58</v>
      </c>
      <c r="K230" s="18">
        <v>0</v>
      </c>
      <c r="L230" s="18">
        <v>0</v>
      </c>
      <c r="M230" s="18">
        <v>3.3</v>
      </c>
      <c r="N230" s="18">
        <v>0</v>
      </c>
      <c r="O230" s="18">
        <v>527681.56000000006</v>
      </c>
      <c r="P230" s="18">
        <v>63153.05</v>
      </c>
      <c r="Q230" s="18">
        <v>0</v>
      </c>
      <c r="R230" s="28">
        <f t="shared" si="9"/>
        <v>10.667373213454283</v>
      </c>
      <c r="S230" s="28">
        <f t="shared" si="10"/>
        <v>13.176248274686175</v>
      </c>
      <c r="T230" s="28">
        <f t="shared" si="11"/>
        <v>8.2615264483964683</v>
      </c>
    </row>
    <row r="231" spans="1:20">
      <c r="A231" s="20" t="s">
        <v>79</v>
      </c>
      <c r="B231" s="21">
        <v>45748</v>
      </c>
      <c r="C231" s="20" t="s">
        <v>16</v>
      </c>
      <c r="D231" s="20" t="s">
        <v>29</v>
      </c>
      <c r="E231" s="22">
        <v>39341.449999999997</v>
      </c>
      <c r="F231" s="22">
        <v>1375</v>
      </c>
      <c r="G231" s="23">
        <v>9.2999999999999999E-2</v>
      </c>
      <c r="H231" s="22">
        <v>5</v>
      </c>
      <c r="I231" s="22">
        <v>95</v>
      </c>
      <c r="J231" s="29">
        <v>5.32</v>
      </c>
      <c r="K231" s="22">
        <v>0</v>
      </c>
      <c r="L231" s="22">
        <v>0</v>
      </c>
      <c r="M231" s="22">
        <v>4</v>
      </c>
      <c r="N231" s="31">
        <v>1</v>
      </c>
      <c r="O231" s="22">
        <v>529598.93999999994</v>
      </c>
      <c r="P231" s="22">
        <v>84334.33</v>
      </c>
      <c r="Q231" s="22">
        <v>0</v>
      </c>
      <c r="R231" s="29">
        <f t="shared" si="9"/>
        <v>10.580033949423438</v>
      </c>
      <c r="S231" s="29">
        <f t="shared" si="10"/>
        <v>13.179875282092357</v>
      </c>
      <c r="T231" s="29">
        <f t="shared" si="11"/>
        <v>7.2262090101006713</v>
      </c>
    </row>
    <row r="232" spans="1:20">
      <c r="A232" s="16" t="s">
        <v>80</v>
      </c>
      <c r="B232" s="17">
        <v>45658</v>
      </c>
      <c r="C232" s="16" t="s">
        <v>16</v>
      </c>
      <c r="D232" s="16" t="s">
        <v>19</v>
      </c>
      <c r="E232" s="18">
        <v>37324.230000000003</v>
      </c>
      <c r="F232" s="18">
        <v>5957</v>
      </c>
      <c r="G232" s="19">
        <v>7.0999999999999994E-2</v>
      </c>
      <c r="H232" s="18">
        <v>12</v>
      </c>
      <c r="I232" s="18">
        <v>85.9</v>
      </c>
      <c r="J232" s="28">
        <v>0.37</v>
      </c>
      <c r="K232" s="18">
        <v>0</v>
      </c>
      <c r="L232" s="18">
        <v>0</v>
      </c>
      <c r="M232" s="18">
        <v>3.8</v>
      </c>
      <c r="N232" s="18">
        <v>0</v>
      </c>
      <c r="O232" s="18">
        <v>570963.31000000006</v>
      </c>
      <c r="P232" s="18">
        <v>87342.25</v>
      </c>
      <c r="Q232" s="18">
        <v>0</v>
      </c>
      <c r="R232" s="28">
        <f t="shared" si="9"/>
        <v>10.527397992589776</v>
      </c>
      <c r="S232" s="28">
        <f t="shared" si="10"/>
        <v>13.255080230881893</v>
      </c>
      <c r="T232" s="28">
        <f t="shared" si="11"/>
        <v>8.692322277628687</v>
      </c>
    </row>
    <row r="233" spans="1:20">
      <c r="A233" s="20" t="s">
        <v>80</v>
      </c>
      <c r="B233" s="21">
        <v>45689</v>
      </c>
      <c r="C233" s="20" t="s">
        <v>16</v>
      </c>
      <c r="D233" s="20" t="s">
        <v>19</v>
      </c>
      <c r="E233" s="22">
        <v>113736</v>
      </c>
      <c r="F233" s="22">
        <v>8961</v>
      </c>
      <c r="G233" s="23">
        <v>0.20200000000000001</v>
      </c>
      <c r="H233" s="22">
        <v>24</v>
      </c>
      <c r="I233" s="22">
        <v>86.2</v>
      </c>
      <c r="J233" s="29">
        <v>21.63</v>
      </c>
      <c r="K233" s="22">
        <v>0</v>
      </c>
      <c r="L233" s="22">
        <v>0</v>
      </c>
      <c r="M233" s="22">
        <v>4</v>
      </c>
      <c r="N233" s="22">
        <v>0</v>
      </c>
      <c r="O233" s="22">
        <v>870937.4</v>
      </c>
      <c r="P233" s="22">
        <v>175282.74</v>
      </c>
      <c r="Q233" s="22">
        <v>0</v>
      </c>
      <c r="R233" s="29">
        <f t="shared" si="9"/>
        <v>11.641635252315535</v>
      </c>
      <c r="S233" s="29">
        <f t="shared" si="10"/>
        <v>13.677325381839596</v>
      </c>
      <c r="T233" s="29">
        <f t="shared" si="11"/>
        <v>9.1006371068842196</v>
      </c>
    </row>
    <row r="234" spans="1:20">
      <c r="A234" s="16" t="s">
        <v>80</v>
      </c>
      <c r="B234" s="17">
        <v>45717</v>
      </c>
      <c r="C234" s="16" t="s">
        <v>16</v>
      </c>
      <c r="D234" s="16" t="s">
        <v>19</v>
      </c>
      <c r="E234" s="18">
        <v>33173.949999999997</v>
      </c>
      <c r="F234" s="18">
        <v>6545</v>
      </c>
      <c r="G234" s="19">
        <v>0.16900000000000001</v>
      </c>
      <c r="H234" s="18">
        <v>15</v>
      </c>
      <c r="I234" s="18">
        <v>84.4</v>
      </c>
      <c r="J234" s="28">
        <v>2.48</v>
      </c>
      <c r="K234" s="18">
        <v>0</v>
      </c>
      <c r="L234" s="18">
        <v>0</v>
      </c>
      <c r="M234" s="18">
        <v>3.9</v>
      </c>
      <c r="N234" s="18">
        <v>0</v>
      </c>
      <c r="O234" s="18">
        <v>596969.27</v>
      </c>
      <c r="P234" s="18">
        <v>105669.51</v>
      </c>
      <c r="Q234" s="18">
        <v>0</v>
      </c>
      <c r="R234" s="28">
        <f t="shared" si="9"/>
        <v>10.409520208360416</v>
      </c>
      <c r="S234" s="28">
        <f t="shared" si="10"/>
        <v>13.299620917013055</v>
      </c>
      <c r="T234" s="28">
        <f t="shared" si="11"/>
        <v>8.7864566783440008</v>
      </c>
    </row>
    <row r="235" spans="1:20">
      <c r="A235" s="20" t="s">
        <v>80</v>
      </c>
      <c r="B235" s="21">
        <v>45748</v>
      </c>
      <c r="C235" s="20" t="s">
        <v>16</v>
      </c>
      <c r="D235" s="20" t="s">
        <v>19</v>
      </c>
      <c r="E235" s="22">
        <v>25818.080000000002</v>
      </c>
      <c r="F235" s="22">
        <v>5457</v>
      </c>
      <c r="G235" s="23">
        <v>0</v>
      </c>
      <c r="H235" s="22">
        <v>11</v>
      </c>
      <c r="I235" s="22">
        <v>95.4</v>
      </c>
      <c r="J235" s="29">
        <v>3.3650000000000002</v>
      </c>
      <c r="K235" s="31">
        <v>1</v>
      </c>
      <c r="L235" s="22">
        <v>0</v>
      </c>
      <c r="M235" s="22">
        <v>3.7</v>
      </c>
      <c r="N235" s="22">
        <v>0</v>
      </c>
      <c r="O235" s="22">
        <v>647512.85</v>
      </c>
      <c r="P235" s="22">
        <v>153835.57</v>
      </c>
      <c r="Q235" s="22">
        <v>0</v>
      </c>
      <c r="R235" s="29">
        <f t="shared" si="9"/>
        <v>10.158830300675225</v>
      </c>
      <c r="S235" s="29">
        <f t="shared" si="10"/>
        <v>13.380893917918755</v>
      </c>
      <c r="T235" s="29">
        <f t="shared" si="11"/>
        <v>8.6046544671862311</v>
      </c>
    </row>
    <row r="236" spans="1:20">
      <c r="A236" s="16" t="s">
        <v>81</v>
      </c>
      <c r="B236" s="17">
        <v>45658</v>
      </c>
      <c r="C236" s="16" t="s">
        <v>28</v>
      </c>
      <c r="D236" s="16" t="s">
        <v>17</v>
      </c>
      <c r="E236" s="18">
        <v>47241.919999999998</v>
      </c>
      <c r="F236" s="18">
        <v>4264</v>
      </c>
      <c r="G236" s="19">
        <v>6.9000000000000006E-2</v>
      </c>
      <c r="H236" s="18">
        <v>13</v>
      </c>
      <c r="I236" s="18">
        <v>95.3</v>
      </c>
      <c r="J236" s="28">
        <v>0.85</v>
      </c>
      <c r="K236" s="18">
        <v>0</v>
      </c>
      <c r="L236" s="18">
        <v>0</v>
      </c>
      <c r="M236" s="18">
        <v>4.3</v>
      </c>
      <c r="N236" s="18">
        <v>0</v>
      </c>
      <c r="O236" s="18">
        <v>658072.14</v>
      </c>
      <c r="P236" s="18">
        <v>110595.89</v>
      </c>
      <c r="Q236" s="18">
        <v>0</v>
      </c>
      <c r="R236" s="28">
        <f t="shared" si="9"/>
        <v>10.763036913007811</v>
      </c>
      <c r="S236" s="28">
        <f t="shared" si="10"/>
        <v>13.397069839556307</v>
      </c>
      <c r="T236" s="28">
        <f t="shared" si="11"/>
        <v>8.3579629658456813</v>
      </c>
    </row>
    <row r="237" spans="1:20">
      <c r="A237" s="20" t="s">
        <v>81</v>
      </c>
      <c r="B237" s="21">
        <v>45689</v>
      </c>
      <c r="C237" s="20" t="s">
        <v>28</v>
      </c>
      <c r="D237" s="20" t="s">
        <v>17</v>
      </c>
      <c r="E237" s="22">
        <v>61650.79</v>
      </c>
      <c r="F237" s="22">
        <v>5321</v>
      </c>
      <c r="G237" s="23">
        <v>0.126</v>
      </c>
      <c r="H237" s="22">
        <v>17</v>
      </c>
      <c r="I237" s="22">
        <v>89.2</v>
      </c>
      <c r="J237" s="29">
        <v>2.13</v>
      </c>
      <c r="K237" s="22">
        <v>0</v>
      </c>
      <c r="L237" s="22">
        <v>0</v>
      </c>
      <c r="M237" s="22">
        <v>4</v>
      </c>
      <c r="N237" s="22">
        <v>0</v>
      </c>
      <c r="O237" s="22">
        <v>723305.11</v>
      </c>
      <c r="P237" s="22">
        <v>128468.7</v>
      </c>
      <c r="Q237" s="22">
        <v>0</v>
      </c>
      <c r="R237" s="29">
        <f t="shared" si="9"/>
        <v>11.029241322784516</v>
      </c>
      <c r="S237" s="29">
        <f t="shared" si="10"/>
        <v>13.491586417654114</v>
      </c>
      <c r="T237" s="29">
        <f t="shared" si="11"/>
        <v>8.5794165345963691</v>
      </c>
    </row>
    <row r="238" spans="1:20">
      <c r="A238" s="16" t="s">
        <v>81</v>
      </c>
      <c r="B238" s="17">
        <v>45717</v>
      </c>
      <c r="C238" s="16" t="s">
        <v>28</v>
      </c>
      <c r="D238" s="16" t="s">
        <v>17</v>
      </c>
      <c r="E238" s="18">
        <v>62582.71</v>
      </c>
      <c r="F238" s="18">
        <v>5479</v>
      </c>
      <c r="G238" s="19">
        <v>4.8000000000000001E-2</v>
      </c>
      <c r="H238" s="18">
        <v>16</v>
      </c>
      <c r="I238" s="18">
        <v>81.2</v>
      </c>
      <c r="J238" s="28">
        <v>1.46</v>
      </c>
      <c r="K238" s="18">
        <v>0</v>
      </c>
      <c r="L238" s="18">
        <v>0</v>
      </c>
      <c r="M238" s="18">
        <v>4.5</v>
      </c>
      <c r="N238" s="18">
        <v>0</v>
      </c>
      <c r="O238" s="18">
        <v>640666.53</v>
      </c>
      <c r="P238" s="18">
        <v>134919.16</v>
      </c>
      <c r="Q238" s="18">
        <v>0</v>
      </c>
      <c r="R238" s="28">
        <f t="shared" si="9"/>
        <v>11.044244320855407</v>
      </c>
      <c r="S238" s="28">
        <f t="shared" si="10"/>
        <v>13.370264366524783</v>
      </c>
      <c r="T238" s="28">
        <f t="shared" si="11"/>
        <v>8.6086778815384157</v>
      </c>
    </row>
    <row r="239" spans="1:20">
      <c r="A239" s="20" t="s">
        <v>81</v>
      </c>
      <c r="B239" s="21">
        <v>45748</v>
      </c>
      <c r="C239" s="20" t="s">
        <v>28</v>
      </c>
      <c r="D239" s="20" t="s">
        <v>17</v>
      </c>
      <c r="E239" s="22">
        <v>47944.14</v>
      </c>
      <c r="F239" s="22">
        <v>6169</v>
      </c>
      <c r="G239" s="23">
        <v>0.11899999999999999</v>
      </c>
      <c r="H239" s="22">
        <v>17</v>
      </c>
      <c r="I239" s="22">
        <v>92.2</v>
      </c>
      <c r="J239" s="29">
        <v>3.02</v>
      </c>
      <c r="K239" s="22">
        <v>0</v>
      </c>
      <c r="L239" s="22">
        <v>0</v>
      </c>
      <c r="M239" s="22">
        <v>4.0999999999999996</v>
      </c>
      <c r="N239" s="22">
        <v>0</v>
      </c>
      <c r="O239" s="22">
        <v>670629.48</v>
      </c>
      <c r="P239" s="22">
        <v>100140.8</v>
      </c>
      <c r="Q239" s="22">
        <v>0</v>
      </c>
      <c r="R239" s="29">
        <f t="shared" si="9"/>
        <v>10.777791862207177</v>
      </c>
      <c r="S239" s="29">
        <f t="shared" si="10"/>
        <v>13.415972072680294</v>
      </c>
      <c r="T239" s="29">
        <f t="shared" si="11"/>
        <v>8.7272920292096394</v>
      </c>
    </row>
    <row r="240" spans="1:20">
      <c r="A240" s="16" t="s">
        <v>82</v>
      </c>
      <c r="B240" s="17">
        <v>45658</v>
      </c>
      <c r="C240" s="16" t="s">
        <v>28</v>
      </c>
      <c r="D240" s="16" t="s">
        <v>29</v>
      </c>
      <c r="E240" s="18">
        <v>46495.4</v>
      </c>
      <c r="F240" s="18">
        <v>9908</v>
      </c>
      <c r="G240" s="19">
        <v>0.121</v>
      </c>
      <c r="H240" s="18">
        <v>22</v>
      </c>
      <c r="I240" s="18">
        <v>89.4</v>
      </c>
      <c r="J240" s="28">
        <v>3.22</v>
      </c>
      <c r="K240" s="18">
        <v>0</v>
      </c>
      <c r="L240" s="18">
        <v>0</v>
      </c>
      <c r="M240" s="18">
        <v>3.7</v>
      </c>
      <c r="N240" s="18">
        <v>0</v>
      </c>
      <c r="O240" s="18">
        <v>721079.35</v>
      </c>
      <c r="P240" s="18">
        <v>115295.05</v>
      </c>
      <c r="Q240" s="18">
        <v>0</v>
      </c>
      <c r="R240" s="28">
        <f t="shared" si="9"/>
        <v>10.747108661950891</v>
      </c>
      <c r="S240" s="28">
        <f t="shared" si="10"/>
        <v>13.488504465689928</v>
      </c>
      <c r="T240" s="28">
        <f t="shared" si="11"/>
        <v>9.2010977906092499</v>
      </c>
    </row>
    <row r="241" spans="1:20">
      <c r="A241" s="20" t="s">
        <v>82</v>
      </c>
      <c r="B241" s="21">
        <v>45689</v>
      </c>
      <c r="C241" s="20" t="s">
        <v>28</v>
      </c>
      <c r="D241" s="20" t="s">
        <v>29</v>
      </c>
      <c r="E241" s="22">
        <v>72961.95</v>
      </c>
      <c r="F241" s="22">
        <v>9996</v>
      </c>
      <c r="G241" s="23">
        <v>0.106</v>
      </c>
      <c r="H241" s="22">
        <v>22</v>
      </c>
      <c r="I241" s="22">
        <v>89.1</v>
      </c>
      <c r="J241" s="29">
        <v>15.66</v>
      </c>
      <c r="K241" s="22">
        <v>0</v>
      </c>
      <c r="L241" s="22">
        <v>0</v>
      </c>
      <c r="M241" s="22">
        <v>3.4</v>
      </c>
      <c r="N241" s="22">
        <v>0</v>
      </c>
      <c r="O241" s="22">
        <v>810355.02</v>
      </c>
      <c r="P241" s="22">
        <v>131510</v>
      </c>
      <c r="Q241" s="22">
        <v>0</v>
      </c>
      <c r="R241" s="29">
        <f t="shared" si="9"/>
        <v>11.197693351364737</v>
      </c>
      <c r="S241" s="29">
        <f t="shared" si="10"/>
        <v>13.605227726921154</v>
      </c>
      <c r="T241" s="29">
        <f t="shared" si="11"/>
        <v>9.2099402919548439</v>
      </c>
    </row>
    <row r="242" spans="1:20">
      <c r="A242" s="16" t="s">
        <v>82</v>
      </c>
      <c r="B242" s="17">
        <v>45717</v>
      </c>
      <c r="C242" s="16" t="s">
        <v>28</v>
      </c>
      <c r="D242" s="16" t="s">
        <v>29</v>
      </c>
      <c r="E242" s="18">
        <v>59060.05</v>
      </c>
      <c r="F242" s="18">
        <v>9702</v>
      </c>
      <c r="G242" s="19">
        <v>0.20100000000000001</v>
      </c>
      <c r="H242" s="18">
        <v>23</v>
      </c>
      <c r="I242" s="18">
        <v>80.900000000000006</v>
      </c>
      <c r="J242" s="28">
        <v>6.96</v>
      </c>
      <c r="K242" s="18">
        <v>0</v>
      </c>
      <c r="L242" s="18">
        <v>0</v>
      </c>
      <c r="M242" s="18">
        <v>3.2</v>
      </c>
      <c r="N242" s="18">
        <v>0</v>
      </c>
      <c r="O242" s="18">
        <v>761919.25</v>
      </c>
      <c r="P242" s="18">
        <v>111893.06</v>
      </c>
      <c r="Q242" s="18">
        <v>0</v>
      </c>
      <c r="R242" s="28">
        <f t="shared" si="9"/>
        <v>10.986310001894237</v>
      </c>
      <c r="S242" s="28">
        <f t="shared" si="10"/>
        <v>13.543595857924837</v>
      </c>
      <c r="T242" s="28">
        <f t="shared" si="11"/>
        <v>9.1800873288051612</v>
      </c>
    </row>
    <row r="243" spans="1:20">
      <c r="A243" s="20" t="s">
        <v>82</v>
      </c>
      <c r="B243" s="21">
        <v>45748</v>
      </c>
      <c r="C243" s="20" t="s">
        <v>28</v>
      </c>
      <c r="D243" s="20" t="s">
        <v>29</v>
      </c>
      <c r="E243" s="22">
        <v>26248.1</v>
      </c>
      <c r="F243" s="22">
        <v>9314</v>
      </c>
      <c r="G243" s="23">
        <v>0.186</v>
      </c>
      <c r="H243" s="22">
        <v>21</v>
      </c>
      <c r="I243" s="22">
        <v>83.7</v>
      </c>
      <c r="J243" s="29">
        <v>4.62</v>
      </c>
      <c r="K243" s="22">
        <v>0</v>
      </c>
      <c r="L243" s="22">
        <v>0</v>
      </c>
      <c r="M243" s="22">
        <v>3.3</v>
      </c>
      <c r="N243" s="22">
        <v>0</v>
      </c>
      <c r="O243" s="22">
        <v>737070.18</v>
      </c>
      <c r="P243" s="22">
        <v>117593.97</v>
      </c>
      <c r="Q243" s="22">
        <v>0</v>
      </c>
      <c r="R243" s="29">
        <f t="shared" si="9"/>
        <v>10.175348884447761</v>
      </c>
      <c r="S243" s="29">
        <f t="shared" si="10"/>
        <v>13.510438390518566</v>
      </c>
      <c r="T243" s="29">
        <f t="shared" si="11"/>
        <v>9.1392739235423228</v>
      </c>
    </row>
    <row r="244" spans="1:20">
      <c r="A244" s="16" t="s">
        <v>83</v>
      </c>
      <c r="B244" s="17">
        <v>45658</v>
      </c>
      <c r="C244" s="16" t="s">
        <v>25</v>
      </c>
      <c r="D244" s="16" t="s">
        <v>22</v>
      </c>
      <c r="E244" s="18">
        <v>69900.12</v>
      </c>
      <c r="F244" s="18">
        <v>8055</v>
      </c>
      <c r="G244" s="19">
        <v>0.28100000000000003</v>
      </c>
      <c r="H244" s="18">
        <v>22</v>
      </c>
      <c r="I244" s="18">
        <v>85.6</v>
      </c>
      <c r="J244" s="28">
        <v>10.68</v>
      </c>
      <c r="K244" s="18">
        <v>0</v>
      </c>
      <c r="L244" s="18">
        <v>1</v>
      </c>
      <c r="M244" s="18">
        <v>2.9</v>
      </c>
      <c r="N244" s="18">
        <v>0</v>
      </c>
      <c r="O244" s="18">
        <v>776992.93</v>
      </c>
      <c r="P244" s="18">
        <v>101598.32</v>
      </c>
      <c r="Q244" s="18">
        <v>0</v>
      </c>
      <c r="R244" s="28">
        <f t="shared" si="9"/>
        <v>11.154822644958625</v>
      </c>
      <c r="S244" s="28">
        <f t="shared" si="10"/>
        <v>13.563186530209288</v>
      </c>
      <c r="T244" s="28">
        <f t="shared" si="11"/>
        <v>8.9940482956110746</v>
      </c>
    </row>
    <row r="245" spans="1:20">
      <c r="A245" s="20" t="s">
        <v>83</v>
      </c>
      <c r="B245" s="21">
        <v>45689</v>
      </c>
      <c r="C245" s="20" t="s">
        <v>25</v>
      </c>
      <c r="D245" s="20" t="s">
        <v>22</v>
      </c>
      <c r="E245" s="22">
        <v>51781.599999999999</v>
      </c>
      <c r="F245" s="22">
        <v>5648</v>
      </c>
      <c r="G245" s="23">
        <v>5.8999999999999997E-2</v>
      </c>
      <c r="H245" s="22">
        <v>13</v>
      </c>
      <c r="I245" s="22">
        <v>85.5</v>
      </c>
      <c r="J245" s="29">
        <v>4.04</v>
      </c>
      <c r="K245" s="22">
        <v>0</v>
      </c>
      <c r="L245" s="22">
        <v>0</v>
      </c>
      <c r="M245" s="22">
        <v>3.7</v>
      </c>
      <c r="N245" s="22">
        <v>0</v>
      </c>
      <c r="O245" s="22">
        <v>676337.41</v>
      </c>
      <c r="P245" s="22">
        <v>104355.77</v>
      </c>
      <c r="Q245" s="22">
        <v>0</v>
      </c>
      <c r="R245" s="29">
        <f t="shared" si="9"/>
        <v>10.85479015278951</v>
      </c>
      <c r="S245" s="29">
        <f t="shared" si="10"/>
        <v>13.42444735772148</v>
      </c>
      <c r="T245" s="29">
        <f t="shared" si="11"/>
        <v>8.6390567791730781</v>
      </c>
    </row>
    <row r="246" spans="1:20">
      <c r="A246" s="16" t="s">
        <v>83</v>
      </c>
      <c r="B246" s="17">
        <v>45717</v>
      </c>
      <c r="C246" s="16" t="s">
        <v>25</v>
      </c>
      <c r="D246" s="16" t="s">
        <v>22</v>
      </c>
      <c r="E246" s="18">
        <v>70799.64</v>
      </c>
      <c r="F246" s="18">
        <v>10076</v>
      </c>
      <c r="G246" s="19">
        <v>0.152</v>
      </c>
      <c r="H246" s="18">
        <v>24</v>
      </c>
      <c r="I246" s="18">
        <v>84.8</v>
      </c>
      <c r="J246" s="28">
        <v>1.87</v>
      </c>
      <c r="K246" s="18">
        <v>0</v>
      </c>
      <c r="L246" s="18">
        <v>0</v>
      </c>
      <c r="M246" s="18">
        <v>3.5</v>
      </c>
      <c r="N246" s="18">
        <v>0</v>
      </c>
      <c r="O246" s="18">
        <v>828219.67</v>
      </c>
      <c r="P246" s="18">
        <v>179806.87</v>
      </c>
      <c r="Q246" s="18">
        <v>0</v>
      </c>
      <c r="R246" s="28">
        <f t="shared" si="9"/>
        <v>11.167609194923122</v>
      </c>
      <c r="S246" s="28">
        <f t="shared" si="10"/>
        <v>13.627033700113429</v>
      </c>
      <c r="T246" s="28">
        <f t="shared" si="11"/>
        <v>9.2179116374725005</v>
      </c>
    </row>
    <row r="247" spans="1:20">
      <c r="A247" s="20" t="s">
        <v>83</v>
      </c>
      <c r="B247" s="21">
        <v>45748</v>
      </c>
      <c r="C247" s="20" t="s">
        <v>25</v>
      </c>
      <c r="D247" s="20" t="s">
        <v>22</v>
      </c>
      <c r="E247" s="22">
        <v>53546.34</v>
      </c>
      <c r="F247" s="22">
        <v>8004</v>
      </c>
      <c r="G247" s="23">
        <v>0</v>
      </c>
      <c r="H247" s="22">
        <v>21</v>
      </c>
      <c r="I247" s="22">
        <v>95.2</v>
      </c>
      <c r="J247" s="29">
        <v>2.83</v>
      </c>
      <c r="K247" s="22">
        <v>0</v>
      </c>
      <c r="L247" s="22">
        <v>0</v>
      </c>
      <c r="M247" s="22">
        <v>3</v>
      </c>
      <c r="N247" s="22">
        <v>0</v>
      </c>
      <c r="O247" s="22">
        <v>763159.92</v>
      </c>
      <c r="P247" s="22">
        <v>177104.87</v>
      </c>
      <c r="Q247" s="22">
        <v>0</v>
      </c>
      <c r="R247" s="29">
        <f t="shared" si="9"/>
        <v>10.888302726201173</v>
      </c>
      <c r="S247" s="29">
        <f t="shared" si="10"/>
        <v>13.545222882013945</v>
      </c>
      <c r="T247" s="29">
        <f t="shared" si="11"/>
        <v>8.9876966957036242</v>
      </c>
    </row>
    <row r="248" spans="1:20">
      <c r="A248" s="16" t="s">
        <v>84</v>
      </c>
      <c r="B248" s="17">
        <v>45658</v>
      </c>
      <c r="C248" s="16" t="s">
        <v>16</v>
      </c>
      <c r="D248" s="16" t="s">
        <v>19</v>
      </c>
      <c r="E248" s="18">
        <v>76942.2</v>
      </c>
      <c r="F248" s="18">
        <v>8934</v>
      </c>
      <c r="G248" s="19">
        <v>8.4000000000000005E-2</v>
      </c>
      <c r="H248" s="18">
        <v>20</v>
      </c>
      <c r="I248" s="18">
        <v>91</v>
      </c>
      <c r="J248" s="28">
        <v>0.95</v>
      </c>
      <c r="K248" s="18">
        <v>0</v>
      </c>
      <c r="L248" s="18">
        <v>0</v>
      </c>
      <c r="M248" s="18">
        <v>3.2</v>
      </c>
      <c r="N248" s="18">
        <v>0</v>
      </c>
      <c r="O248" s="18">
        <v>802001.68</v>
      </c>
      <c r="P248" s="18">
        <v>159715.82</v>
      </c>
      <c r="Q248" s="18">
        <v>0</v>
      </c>
      <c r="R248" s="28">
        <f t="shared" si="9"/>
        <v>11.250809769606878</v>
      </c>
      <c r="S248" s="28">
        <f t="shared" si="10"/>
        <v>13.59486598160955</v>
      </c>
      <c r="T248" s="28">
        <f t="shared" si="11"/>
        <v>9.0976195019120638</v>
      </c>
    </row>
    <row r="249" spans="1:20">
      <c r="A249" s="20" t="s">
        <v>84</v>
      </c>
      <c r="B249" s="21">
        <v>45689</v>
      </c>
      <c r="C249" s="20" t="s">
        <v>16</v>
      </c>
      <c r="D249" s="20" t="s">
        <v>19</v>
      </c>
      <c r="E249" s="22">
        <v>48060.78</v>
      </c>
      <c r="F249" s="22">
        <v>8733</v>
      </c>
      <c r="G249" s="23">
        <v>0</v>
      </c>
      <c r="H249" s="22">
        <v>20</v>
      </c>
      <c r="I249" s="22">
        <v>89.9</v>
      </c>
      <c r="J249" s="29">
        <v>0.8</v>
      </c>
      <c r="K249" s="22">
        <v>0</v>
      </c>
      <c r="L249" s="22">
        <v>0</v>
      </c>
      <c r="M249" s="22">
        <v>3.4</v>
      </c>
      <c r="N249" s="22">
        <v>0</v>
      </c>
      <c r="O249" s="22">
        <v>750471.34</v>
      </c>
      <c r="P249" s="22">
        <v>133788.04</v>
      </c>
      <c r="Q249" s="22">
        <v>0</v>
      </c>
      <c r="R249" s="29">
        <f t="shared" si="9"/>
        <v>10.780221738871619</v>
      </c>
      <c r="S249" s="29">
        <f t="shared" si="10"/>
        <v>13.528456741451729</v>
      </c>
      <c r="T249" s="29">
        <f t="shared" si="11"/>
        <v>9.0748642324137325</v>
      </c>
    </row>
    <row r="250" spans="1:20">
      <c r="A250" s="16" t="s">
        <v>84</v>
      </c>
      <c r="B250" s="17">
        <v>45717</v>
      </c>
      <c r="C250" s="16" t="s">
        <v>16</v>
      </c>
      <c r="D250" s="16" t="s">
        <v>19</v>
      </c>
      <c r="E250" s="18">
        <v>57390.04</v>
      </c>
      <c r="F250" s="18">
        <v>7374</v>
      </c>
      <c r="G250" s="19">
        <v>0.21</v>
      </c>
      <c r="H250" s="18">
        <v>21</v>
      </c>
      <c r="I250" s="18">
        <v>91.8</v>
      </c>
      <c r="J250" s="28">
        <v>0.2</v>
      </c>
      <c r="K250" s="18">
        <v>0</v>
      </c>
      <c r="L250" s="18">
        <v>0</v>
      </c>
      <c r="M250" s="18">
        <v>3.1</v>
      </c>
      <c r="N250" s="18">
        <v>0</v>
      </c>
      <c r="O250" s="18">
        <v>679230.86</v>
      </c>
      <c r="P250" s="18">
        <v>106927.58</v>
      </c>
      <c r="Q250" s="18">
        <v>0</v>
      </c>
      <c r="R250" s="28">
        <f t="shared" si="9"/>
        <v>10.957626048087702</v>
      </c>
      <c r="S250" s="28">
        <f t="shared" si="10"/>
        <v>13.42871634875393</v>
      </c>
      <c r="T250" s="28">
        <f t="shared" si="11"/>
        <v>8.9057155787940907</v>
      </c>
    </row>
    <row r="251" spans="1:20">
      <c r="A251" s="20" t="s">
        <v>84</v>
      </c>
      <c r="B251" s="21">
        <v>45748</v>
      </c>
      <c r="C251" s="20" t="s">
        <v>16</v>
      </c>
      <c r="D251" s="20" t="s">
        <v>19</v>
      </c>
      <c r="E251" s="22">
        <v>21536.18</v>
      </c>
      <c r="F251" s="22">
        <v>8119</v>
      </c>
      <c r="G251" s="23">
        <v>0.22700000000000001</v>
      </c>
      <c r="H251" s="22">
        <v>20</v>
      </c>
      <c r="I251" s="22">
        <v>90.4</v>
      </c>
      <c r="J251" s="29">
        <v>1.7</v>
      </c>
      <c r="K251" s="22">
        <v>0</v>
      </c>
      <c r="L251" s="22">
        <v>0</v>
      </c>
      <c r="M251" s="22">
        <v>3.3</v>
      </c>
      <c r="N251" s="22">
        <v>0</v>
      </c>
      <c r="O251" s="22">
        <v>679888.74</v>
      </c>
      <c r="P251" s="22">
        <v>83406.89</v>
      </c>
      <c r="Q251" s="22">
        <v>0</v>
      </c>
      <c r="R251" s="29">
        <f t="shared" si="9"/>
        <v>9.9774895905075933</v>
      </c>
      <c r="S251" s="29">
        <f t="shared" si="10"/>
        <v>13.429684446118403</v>
      </c>
      <c r="T251" s="29">
        <f t="shared" si="11"/>
        <v>9.0019622728624462</v>
      </c>
    </row>
    <row r="252" spans="1:20">
      <c r="A252" s="16" t="s">
        <v>85</v>
      </c>
      <c r="B252" s="17">
        <v>45658</v>
      </c>
      <c r="C252" s="16" t="s">
        <v>21</v>
      </c>
      <c r="D252" s="16" t="s">
        <v>19</v>
      </c>
      <c r="E252" s="18">
        <v>40923.67</v>
      </c>
      <c r="F252" s="18">
        <v>3875</v>
      </c>
      <c r="G252" s="19">
        <v>0.15</v>
      </c>
      <c r="H252" s="18">
        <v>10</v>
      </c>
      <c r="I252" s="18">
        <v>96.1</v>
      </c>
      <c r="J252" s="28">
        <v>3.3650000000000002</v>
      </c>
      <c r="K252" s="31">
        <v>1</v>
      </c>
      <c r="L252" s="18">
        <v>0</v>
      </c>
      <c r="M252" s="18">
        <v>3.8</v>
      </c>
      <c r="N252" s="18">
        <v>0</v>
      </c>
      <c r="O252" s="18">
        <v>606783.67000000004</v>
      </c>
      <c r="P252" s="18">
        <v>74515.87</v>
      </c>
      <c r="Q252" s="18">
        <v>0</v>
      </c>
      <c r="R252" s="28">
        <f t="shared" si="9"/>
        <v>10.619463903238433</v>
      </c>
      <c r="S252" s="28">
        <f t="shared" si="10"/>
        <v>13.315927614426624</v>
      </c>
      <c r="T252" s="28">
        <f t="shared" si="11"/>
        <v>8.2623009417874478</v>
      </c>
    </row>
    <row r="253" spans="1:20">
      <c r="A253" s="20" t="s">
        <v>85</v>
      </c>
      <c r="B253" s="21">
        <v>45689</v>
      </c>
      <c r="C253" s="20" t="s">
        <v>21</v>
      </c>
      <c r="D253" s="20" t="s">
        <v>19</v>
      </c>
      <c r="E253" s="22">
        <v>72932.55</v>
      </c>
      <c r="F253" s="22">
        <v>5765</v>
      </c>
      <c r="G253" s="23">
        <v>2.5999999999999999E-2</v>
      </c>
      <c r="H253" s="22">
        <v>17</v>
      </c>
      <c r="I253" s="22">
        <v>81.8</v>
      </c>
      <c r="J253" s="29">
        <v>5.0999999999999996</v>
      </c>
      <c r="K253" s="22">
        <v>0</v>
      </c>
      <c r="L253" s="22">
        <v>0</v>
      </c>
      <c r="M253" s="22">
        <v>3.6</v>
      </c>
      <c r="N253" s="22">
        <v>0</v>
      </c>
      <c r="O253" s="22">
        <v>642751.42000000004</v>
      </c>
      <c r="P253" s="22">
        <v>131942.15</v>
      </c>
      <c r="Q253" s="22">
        <v>0</v>
      </c>
      <c r="R253" s="29">
        <f t="shared" si="9"/>
        <v>11.197290320401981</v>
      </c>
      <c r="S253" s="29">
        <f t="shared" si="10"/>
        <v>13.373513334382794</v>
      </c>
      <c r="T253" s="29">
        <f t="shared" si="11"/>
        <v>8.6595604327031594</v>
      </c>
    </row>
    <row r="254" spans="1:20">
      <c r="A254" s="16" t="s">
        <v>85</v>
      </c>
      <c r="B254" s="17">
        <v>45717</v>
      </c>
      <c r="C254" s="16" t="s">
        <v>21</v>
      </c>
      <c r="D254" s="16" t="s">
        <v>19</v>
      </c>
      <c r="E254" s="18">
        <v>38361.93</v>
      </c>
      <c r="F254" s="18">
        <v>6322</v>
      </c>
      <c r="G254" s="19">
        <v>0.27300000000000002</v>
      </c>
      <c r="H254" s="18">
        <v>15</v>
      </c>
      <c r="I254" s="18">
        <v>88.4</v>
      </c>
      <c r="J254" s="28">
        <v>0.83</v>
      </c>
      <c r="K254" s="18">
        <v>0</v>
      </c>
      <c r="L254" s="18">
        <v>0</v>
      </c>
      <c r="M254" s="18">
        <v>4</v>
      </c>
      <c r="N254" s="18">
        <v>0</v>
      </c>
      <c r="O254" s="18">
        <v>647953.78</v>
      </c>
      <c r="P254" s="18">
        <v>118497.43</v>
      </c>
      <c r="Q254" s="18">
        <v>0</v>
      </c>
      <c r="R254" s="28">
        <f t="shared" si="9"/>
        <v>10.554820840557587</v>
      </c>
      <c r="S254" s="28">
        <f t="shared" si="10"/>
        <v>13.381574645630016</v>
      </c>
      <c r="T254" s="28">
        <f t="shared" si="11"/>
        <v>8.7517908927755634</v>
      </c>
    </row>
    <row r="255" spans="1:20">
      <c r="A255" s="20" t="s">
        <v>85</v>
      </c>
      <c r="B255" s="21">
        <v>45748</v>
      </c>
      <c r="C255" s="20" t="s">
        <v>21</v>
      </c>
      <c r="D255" s="20" t="s">
        <v>19</v>
      </c>
      <c r="E255" s="22">
        <v>97480.94</v>
      </c>
      <c r="F255" s="22">
        <v>6840</v>
      </c>
      <c r="G255" s="23">
        <v>8.6999999999999994E-2</v>
      </c>
      <c r="H255" s="22">
        <v>14</v>
      </c>
      <c r="I255" s="22">
        <v>79.2</v>
      </c>
      <c r="J255" s="29">
        <v>1.1399999999999999</v>
      </c>
      <c r="K255" s="22">
        <v>0</v>
      </c>
      <c r="L255" s="22">
        <v>0</v>
      </c>
      <c r="M255" s="22">
        <v>4</v>
      </c>
      <c r="N255" s="22">
        <v>0</v>
      </c>
      <c r="O255" s="22">
        <v>729440.45</v>
      </c>
      <c r="P255" s="22">
        <v>87614.29</v>
      </c>
      <c r="Q255" s="22">
        <v>0</v>
      </c>
      <c r="R255" s="29">
        <f t="shared" si="9"/>
        <v>11.487412150696342</v>
      </c>
      <c r="S255" s="29">
        <f t="shared" si="10"/>
        <v>13.500033012358681</v>
      </c>
      <c r="T255" s="29">
        <f t="shared" si="11"/>
        <v>8.8305430106165961</v>
      </c>
    </row>
    <row r="256" spans="1:20">
      <c r="A256" s="16" t="s">
        <v>86</v>
      </c>
      <c r="B256" s="17">
        <v>45658</v>
      </c>
      <c r="C256" s="16" t="s">
        <v>25</v>
      </c>
      <c r="D256" s="16" t="s">
        <v>22</v>
      </c>
      <c r="E256" s="18">
        <v>81801.8</v>
      </c>
      <c r="F256" s="18">
        <v>6782</v>
      </c>
      <c r="G256" s="19">
        <v>0.05</v>
      </c>
      <c r="H256" s="18">
        <v>16</v>
      </c>
      <c r="I256" s="18">
        <v>99</v>
      </c>
      <c r="J256" s="28">
        <v>9.5399999999999991</v>
      </c>
      <c r="K256" s="18">
        <v>0</v>
      </c>
      <c r="L256" s="18">
        <v>0</v>
      </c>
      <c r="M256" s="18">
        <v>3.7</v>
      </c>
      <c r="N256" s="18">
        <v>0</v>
      </c>
      <c r="O256" s="18">
        <v>764949</v>
      </c>
      <c r="P256" s="18">
        <v>148322.43</v>
      </c>
      <c r="Q256" s="18">
        <v>0</v>
      </c>
      <c r="R256" s="28">
        <f t="shared" si="9"/>
        <v>11.312054527238709</v>
      </c>
      <c r="S256" s="28">
        <f t="shared" si="10"/>
        <v>13.547564443919685</v>
      </c>
      <c r="T256" s="28">
        <f t="shared" si="11"/>
        <v>8.8220273226855834</v>
      </c>
    </row>
    <row r="257" spans="1:20">
      <c r="A257" s="20" t="s">
        <v>86</v>
      </c>
      <c r="B257" s="21">
        <v>45689</v>
      </c>
      <c r="C257" s="20" t="s">
        <v>25</v>
      </c>
      <c r="D257" s="20" t="s">
        <v>22</v>
      </c>
      <c r="E257" s="22">
        <v>63582.11</v>
      </c>
      <c r="F257" s="22">
        <v>6856</v>
      </c>
      <c r="G257" s="23">
        <v>7.3999999999999996E-2</v>
      </c>
      <c r="H257" s="22">
        <v>17</v>
      </c>
      <c r="I257" s="22">
        <v>89.5</v>
      </c>
      <c r="J257" s="29">
        <v>5.48</v>
      </c>
      <c r="K257" s="22">
        <v>0</v>
      </c>
      <c r="L257" s="22">
        <v>0</v>
      </c>
      <c r="M257" s="22">
        <v>3.2</v>
      </c>
      <c r="N257" s="22">
        <v>0</v>
      </c>
      <c r="O257" s="22">
        <v>799046.94</v>
      </c>
      <c r="P257" s="22">
        <v>144553.64000000001</v>
      </c>
      <c r="Q257" s="22">
        <v>0</v>
      </c>
      <c r="R257" s="29">
        <f t="shared" si="9"/>
        <v>11.060087420450779</v>
      </c>
      <c r="S257" s="29">
        <f t="shared" si="10"/>
        <v>13.591174971458335</v>
      </c>
      <c r="T257" s="29">
        <f t="shared" si="11"/>
        <v>8.8328794602776153</v>
      </c>
    </row>
    <row r="258" spans="1:20">
      <c r="A258" s="16" t="s">
        <v>86</v>
      </c>
      <c r="B258" s="17">
        <v>45717</v>
      </c>
      <c r="C258" s="16" t="s">
        <v>25</v>
      </c>
      <c r="D258" s="16" t="s">
        <v>22</v>
      </c>
      <c r="E258" s="18">
        <v>75412.740000000005</v>
      </c>
      <c r="F258" s="18">
        <v>5641</v>
      </c>
      <c r="G258" s="19">
        <v>5.8999999999999997E-2</v>
      </c>
      <c r="H258" s="18">
        <v>13</v>
      </c>
      <c r="I258" s="18">
        <v>87.9</v>
      </c>
      <c r="J258" s="28">
        <v>0.84</v>
      </c>
      <c r="K258" s="18">
        <v>0</v>
      </c>
      <c r="L258" s="18">
        <v>0</v>
      </c>
      <c r="M258" s="18">
        <v>3.6</v>
      </c>
      <c r="N258" s="18">
        <v>0</v>
      </c>
      <c r="O258" s="18">
        <v>720079.54</v>
      </c>
      <c r="P258" s="18">
        <v>119499.47</v>
      </c>
      <c r="Q258" s="18">
        <v>0</v>
      </c>
      <c r="R258" s="28">
        <f t="shared" si="9"/>
        <v>11.230731505240223</v>
      </c>
      <c r="S258" s="28">
        <f t="shared" si="10"/>
        <v>13.487116957112853</v>
      </c>
      <c r="T258" s="28">
        <f t="shared" si="11"/>
        <v>8.6378166337399769</v>
      </c>
    </row>
    <row r="259" spans="1:20">
      <c r="A259" s="20" t="s">
        <v>86</v>
      </c>
      <c r="B259" s="21">
        <v>45748</v>
      </c>
      <c r="C259" s="20" t="s">
        <v>25</v>
      </c>
      <c r="D259" s="20" t="s">
        <v>22</v>
      </c>
      <c r="E259" s="22">
        <v>36290.080000000002</v>
      </c>
      <c r="F259" s="22">
        <v>5787</v>
      </c>
      <c r="G259" s="23">
        <v>0</v>
      </c>
      <c r="H259" s="22">
        <v>17</v>
      </c>
      <c r="I259" s="22">
        <v>88.3</v>
      </c>
      <c r="J259" s="29">
        <v>4.1900000000000004</v>
      </c>
      <c r="K259" s="22">
        <v>0</v>
      </c>
      <c r="L259" s="22">
        <v>0</v>
      </c>
      <c r="M259" s="22">
        <v>4.0999999999999996</v>
      </c>
      <c r="N259" s="22">
        <v>0</v>
      </c>
      <c r="O259" s="22">
        <v>612390.14</v>
      </c>
      <c r="P259" s="22">
        <v>108985.74</v>
      </c>
      <c r="Q259" s="22">
        <v>0</v>
      </c>
      <c r="R259" s="29">
        <f t="shared" si="9"/>
        <v>10.499299704668726</v>
      </c>
      <c r="S259" s="29">
        <f t="shared" si="10"/>
        <v>13.325124842048199</v>
      </c>
      <c r="T259" s="29">
        <f t="shared" si="11"/>
        <v>8.6633693015738391</v>
      </c>
    </row>
    <row r="260" spans="1:20">
      <c r="A260" s="16" t="s">
        <v>87</v>
      </c>
      <c r="B260" s="17">
        <v>45658</v>
      </c>
      <c r="C260" s="16" t="s">
        <v>25</v>
      </c>
      <c r="D260" s="16" t="s">
        <v>29</v>
      </c>
      <c r="E260" s="18">
        <v>65272.58</v>
      </c>
      <c r="F260" s="18">
        <v>8165</v>
      </c>
      <c r="G260" s="19">
        <v>5.0999999999999997E-2</v>
      </c>
      <c r="H260" s="18">
        <v>19</v>
      </c>
      <c r="I260" s="18">
        <v>87.8</v>
      </c>
      <c r="J260" s="28">
        <v>1.26</v>
      </c>
      <c r="K260" s="18">
        <v>0</v>
      </c>
      <c r="L260" s="18">
        <v>1</v>
      </c>
      <c r="M260" s="18">
        <v>4.3</v>
      </c>
      <c r="N260" s="18">
        <v>0</v>
      </c>
      <c r="O260" s="18">
        <v>840108.12</v>
      </c>
      <c r="P260" s="18">
        <v>126587.01</v>
      </c>
      <c r="Q260" s="18">
        <v>0</v>
      </c>
      <c r="R260" s="28">
        <f t="shared" si="9"/>
        <v>11.086327318962036</v>
      </c>
      <c r="S260" s="28">
        <f t="shared" si="10"/>
        <v>13.641285876822238</v>
      </c>
      <c r="T260" s="28">
        <f t="shared" si="11"/>
        <v>9.0076120054045656</v>
      </c>
    </row>
    <row r="261" spans="1:20">
      <c r="A261" s="20" t="s">
        <v>87</v>
      </c>
      <c r="B261" s="21">
        <v>45689</v>
      </c>
      <c r="C261" s="20" t="s">
        <v>25</v>
      </c>
      <c r="D261" s="20" t="s">
        <v>29</v>
      </c>
      <c r="E261" s="22">
        <v>28670.43</v>
      </c>
      <c r="F261" s="22">
        <v>7574</v>
      </c>
      <c r="G261" s="23">
        <v>0.114</v>
      </c>
      <c r="H261" s="22">
        <v>19</v>
      </c>
      <c r="I261" s="22">
        <v>82.7</v>
      </c>
      <c r="J261" s="29">
        <v>2.74</v>
      </c>
      <c r="K261" s="22">
        <v>0</v>
      </c>
      <c r="L261" s="22">
        <v>0</v>
      </c>
      <c r="M261" s="22">
        <v>4.5999999999999996</v>
      </c>
      <c r="N261" s="22">
        <v>0</v>
      </c>
      <c r="O261" s="22">
        <v>697888.09</v>
      </c>
      <c r="P261" s="22">
        <v>116249.87</v>
      </c>
      <c r="Q261" s="22">
        <v>0</v>
      </c>
      <c r="R261" s="29">
        <f t="shared" ref="R261:R323" si="12">LN(E261)</f>
        <v>10.26362155702096</v>
      </c>
      <c r="S261" s="29">
        <f t="shared" ref="S261:S323" si="13">LN(O261)</f>
        <v>13.455814039377465</v>
      </c>
      <c r="T261" s="29">
        <f t="shared" ref="T261:T323" si="14">LN(F261)</f>
        <v>8.9324766084617409</v>
      </c>
    </row>
    <row r="262" spans="1:20">
      <c r="A262" s="16" t="s">
        <v>87</v>
      </c>
      <c r="B262" s="17">
        <v>45717</v>
      </c>
      <c r="C262" s="16" t="s">
        <v>25</v>
      </c>
      <c r="D262" s="16" t="s">
        <v>29</v>
      </c>
      <c r="E262" s="18">
        <v>44189.34</v>
      </c>
      <c r="F262" s="18">
        <v>8634</v>
      </c>
      <c r="G262" s="19">
        <v>0.14299999999999999</v>
      </c>
      <c r="H262" s="18">
        <v>19</v>
      </c>
      <c r="I262" s="18">
        <v>87.5</v>
      </c>
      <c r="J262" s="28">
        <v>3.69</v>
      </c>
      <c r="K262" s="18">
        <v>0</v>
      </c>
      <c r="L262" s="18">
        <v>0</v>
      </c>
      <c r="M262" s="18">
        <v>4.4000000000000004</v>
      </c>
      <c r="N262" s="18">
        <v>0</v>
      </c>
      <c r="O262" s="18">
        <v>746115.59</v>
      </c>
      <c r="P262" s="18">
        <v>94662.96</v>
      </c>
      <c r="Q262" s="18">
        <v>0</v>
      </c>
      <c r="R262" s="28">
        <f t="shared" si="12"/>
        <v>10.69623886250748</v>
      </c>
      <c r="S262" s="28">
        <f t="shared" si="13"/>
        <v>13.522635813563644</v>
      </c>
      <c r="T262" s="28">
        <f t="shared" si="14"/>
        <v>9.0634631761154232</v>
      </c>
    </row>
    <row r="263" spans="1:20">
      <c r="A263" s="20" t="s">
        <v>87</v>
      </c>
      <c r="B263" s="21">
        <v>45748</v>
      </c>
      <c r="C263" s="20" t="s">
        <v>25</v>
      </c>
      <c r="D263" s="20" t="s">
        <v>29</v>
      </c>
      <c r="E263" s="22">
        <v>38397.82</v>
      </c>
      <c r="F263" s="22">
        <v>7836</v>
      </c>
      <c r="G263" s="23">
        <v>7.0000000000000001E-3</v>
      </c>
      <c r="H263" s="22">
        <v>21</v>
      </c>
      <c r="I263" s="22">
        <v>92.2</v>
      </c>
      <c r="J263" s="29">
        <v>1.82</v>
      </c>
      <c r="K263" s="22">
        <v>0</v>
      </c>
      <c r="L263" s="22">
        <v>0</v>
      </c>
      <c r="M263" s="22">
        <v>3.6</v>
      </c>
      <c r="N263" s="22">
        <v>0</v>
      </c>
      <c r="O263" s="22">
        <v>776110.32</v>
      </c>
      <c r="P263" s="22">
        <v>139676.21</v>
      </c>
      <c r="Q263" s="22">
        <v>0</v>
      </c>
      <c r="R263" s="29">
        <f t="shared" si="12"/>
        <v>10.55575596613096</v>
      </c>
      <c r="S263" s="29">
        <f t="shared" si="13"/>
        <v>13.56204995400933</v>
      </c>
      <c r="T263" s="29">
        <f t="shared" si="14"/>
        <v>8.9664837790644309</v>
      </c>
    </row>
    <row r="264" spans="1:20">
      <c r="A264" s="16" t="s">
        <v>88</v>
      </c>
      <c r="B264" s="17">
        <v>45658</v>
      </c>
      <c r="C264" s="16" t="s">
        <v>28</v>
      </c>
      <c r="D264" s="16" t="s">
        <v>19</v>
      </c>
      <c r="E264" s="18">
        <v>14519.37</v>
      </c>
      <c r="F264" s="18">
        <v>3047</v>
      </c>
      <c r="G264" s="19">
        <v>0.13500000000000001</v>
      </c>
      <c r="H264" s="18">
        <v>10</v>
      </c>
      <c r="I264" s="18">
        <v>90.3</v>
      </c>
      <c r="J264" s="28">
        <v>6.62</v>
      </c>
      <c r="K264" s="18">
        <v>0</v>
      </c>
      <c r="L264" s="18">
        <v>0</v>
      </c>
      <c r="M264" s="18">
        <v>4.2</v>
      </c>
      <c r="N264" s="18">
        <v>0</v>
      </c>
      <c r="O264" s="18">
        <v>528852.62</v>
      </c>
      <c r="P264" s="18">
        <v>68426.210000000006</v>
      </c>
      <c r="Q264" s="18">
        <v>0</v>
      </c>
      <c r="R264" s="28">
        <f t="shared" si="12"/>
        <v>9.5832388990077302</v>
      </c>
      <c r="S264" s="28">
        <f t="shared" si="13"/>
        <v>13.178465070889715</v>
      </c>
      <c r="T264" s="28">
        <f t="shared" si="14"/>
        <v>8.0219127789857083</v>
      </c>
    </row>
    <row r="265" spans="1:20">
      <c r="A265" s="20" t="s">
        <v>88</v>
      </c>
      <c r="B265" s="21">
        <v>45689</v>
      </c>
      <c r="C265" s="20" t="s">
        <v>28</v>
      </c>
      <c r="D265" s="20" t="s">
        <v>19</v>
      </c>
      <c r="E265" s="22">
        <v>43288.2</v>
      </c>
      <c r="F265" s="22">
        <v>4783</v>
      </c>
      <c r="G265" s="23">
        <v>0.16900000000000001</v>
      </c>
      <c r="H265" s="22">
        <v>13</v>
      </c>
      <c r="I265" s="22">
        <v>87.3</v>
      </c>
      <c r="J265" s="29">
        <v>3.3650000000000002</v>
      </c>
      <c r="K265" s="31">
        <v>1</v>
      </c>
      <c r="L265" s="22">
        <v>0</v>
      </c>
      <c r="M265" s="22">
        <v>4.2</v>
      </c>
      <c r="N265" s="22">
        <v>0</v>
      </c>
      <c r="O265" s="22">
        <v>605751.32999999996</v>
      </c>
      <c r="P265" s="22">
        <v>60685.53</v>
      </c>
      <c r="Q265" s="22">
        <v>0</v>
      </c>
      <c r="R265" s="29">
        <f t="shared" si="12"/>
        <v>10.675635359529972</v>
      </c>
      <c r="S265" s="29">
        <f t="shared" si="13"/>
        <v>13.314224834301619</v>
      </c>
      <c r="T265" s="29">
        <f t="shared" si="14"/>
        <v>8.4728232436802973</v>
      </c>
    </row>
    <row r="266" spans="1:20">
      <c r="A266" s="16" t="s">
        <v>88</v>
      </c>
      <c r="B266" s="17">
        <v>45717</v>
      </c>
      <c r="C266" s="16" t="s">
        <v>28</v>
      </c>
      <c r="D266" s="16" t="s">
        <v>19</v>
      </c>
      <c r="E266" s="18">
        <v>51450.55</v>
      </c>
      <c r="F266" s="18">
        <v>4902</v>
      </c>
      <c r="G266" s="19">
        <v>8.5999999999999993E-2</v>
      </c>
      <c r="H266" s="18">
        <v>11</v>
      </c>
      <c r="I266" s="18">
        <v>83.7</v>
      </c>
      <c r="J266" s="28">
        <v>6.92</v>
      </c>
      <c r="K266" s="18">
        <v>0</v>
      </c>
      <c r="L266" s="18">
        <v>1</v>
      </c>
      <c r="M266" s="18">
        <v>4.2</v>
      </c>
      <c r="N266" s="18">
        <v>0</v>
      </c>
      <c r="O266" s="18">
        <v>677640.65</v>
      </c>
      <c r="P266" s="18">
        <v>111610.89</v>
      </c>
      <c r="Q266" s="18">
        <v>0</v>
      </c>
      <c r="R266" s="28">
        <f t="shared" si="12"/>
        <v>10.848376431195341</v>
      </c>
      <c r="S266" s="28">
        <f t="shared" si="13"/>
        <v>13.426372411665803</v>
      </c>
      <c r="T266" s="28">
        <f t="shared" si="14"/>
        <v>8.4973985640880585</v>
      </c>
    </row>
    <row r="267" spans="1:20">
      <c r="A267" s="20" t="s">
        <v>88</v>
      </c>
      <c r="B267" s="21">
        <v>45748</v>
      </c>
      <c r="C267" s="20" t="s">
        <v>28</v>
      </c>
      <c r="D267" s="20" t="s">
        <v>19</v>
      </c>
      <c r="E267" s="22">
        <v>58688.26</v>
      </c>
      <c r="F267" s="22">
        <v>4022</v>
      </c>
      <c r="G267" s="23">
        <v>0.217</v>
      </c>
      <c r="H267" s="22">
        <v>12</v>
      </c>
      <c r="I267" s="22">
        <v>93.8</v>
      </c>
      <c r="J267" s="29">
        <v>11.78</v>
      </c>
      <c r="K267" s="22">
        <v>0</v>
      </c>
      <c r="L267" s="22">
        <v>0</v>
      </c>
      <c r="M267" s="22">
        <v>3.7</v>
      </c>
      <c r="N267" s="22">
        <v>0</v>
      </c>
      <c r="O267" s="22">
        <v>636613.23</v>
      </c>
      <c r="P267" s="22">
        <v>78908.350000000006</v>
      </c>
      <c r="Q267" s="22">
        <v>0</v>
      </c>
      <c r="R267" s="29">
        <f t="shared" si="12"/>
        <v>10.979994985813521</v>
      </c>
      <c r="S267" s="29">
        <f t="shared" si="13"/>
        <v>13.363917575895048</v>
      </c>
      <c r="T267" s="29">
        <f t="shared" si="14"/>
        <v>8.2995345703325967</v>
      </c>
    </row>
    <row r="268" spans="1:20">
      <c r="A268" s="16" t="s">
        <v>89</v>
      </c>
      <c r="B268" s="17">
        <v>45658</v>
      </c>
      <c r="C268" s="16" t="s">
        <v>16</v>
      </c>
      <c r="D268" s="16" t="s">
        <v>19</v>
      </c>
      <c r="E268" s="18">
        <v>58981.91</v>
      </c>
      <c r="F268" s="18">
        <v>7324</v>
      </c>
      <c r="G268" s="19">
        <v>9.4E-2</v>
      </c>
      <c r="H268" s="18">
        <v>15</v>
      </c>
      <c r="I268" s="18">
        <v>95.8</v>
      </c>
      <c r="J268" s="28">
        <v>0.5</v>
      </c>
      <c r="K268" s="18">
        <v>0</v>
      </c>
      <c r="L268" s="18">
        <v>0</v>
      </c>
      <c r="M268" s="18">
        <v>3.5</v>
      </c>
      <c r="N268" s="18">
        <v>0</v>
      </c>
      <c r="O268" s="18">
        <v>708985.19</v>
      </c>
      <c r="P268" s="18">
        <v>125368.16</v>
      </c>
      <c r="Q268" s="18">
        <v>0</v>
      </c>
      <c r="R268" s="28">
        <f t="shared" si="12"/>
        <v>10.984986065703856</v>
      </c>
      <c r="S268" s="28">
        <f t="shared" si="13"/>
        <v>13.471589916720637</v>
      </c>
      <c r="T268" s="28">
        <f t="shared" si="14"/>
        <v>8.8989119057944013</v>
      </c>
    </row>
    <row r="269" spans="1:20">
      <c r="A269" s="20" t="s">
        <v>89</v>
      </c>
      <c r="B269" s="21">
        <v>45689</v>
      </c>
      <c r="C269" s="20" t="s">
        <v>16</v>
      </c>
      <c r="D269" s="20" t="s">
        <v>19</v>
      </c>
      <c r="E269" s="22">
        <v>73454.539999999994</v>
      </c>
      <c r="F269" s="22">
        <v>8129</v>
      </c>
      <c r="G269" s="23">
        <v>0.21099999999999999</v>
      </c>
      <c r="H269" s="22">
        <v>20</v>
      </c>
      <c r="I269" s="22">
        <v>85.2</v>
      </c>
      <c r="J269" s="29">
        <v>0.88</v>
      </c>
      <c r="K269" s="22">
        <v>0</v>
      </c>
      <c r="L269" s="22">
        <v>0</v>
      </c>
      <c r="M269" s="22">
        <v>3.7</v>
      </c>
      <c r="N269" s="22">
        <v>0</v>
      </c>
      <c r="O269" s="22">
        <v>767792.94</v>
      </c>
      <c r="P269" s="22">
        <v>96235.77</v>
      </c>
      <c r="Q269" s="22">
        <v>0</v>
      </c>
      <c r="R269" s="29">
        <f t="shared" si="12"/>
        <v>11.204421990447432</v>
      </c>
      <c r="S269" s="29">
        <f t="shared" si="13"/>
        <v>13.551275366403667</v>
      </c>
      <c r="T269" s="29">
        <f t="shared" si="14"/>
        <v>9.0031931937465721</v>
      </c>
    </row>
    <row r="270" spans="1:20">
      <c r="A270" s="16" t="s">
        <v>89</v>
      </c>
      <c r="B270" s="17">
        <v>45717</v>
      </c>
      <c r="C270" s="16" t="s">
        <v>16</v>
      </c>
      <c r="D270" s="16" t="s">
        <v>19</v>
      </c>
      <c r="E270" s="18">
        <v>56602.39</v>
      </c>
      <c r="F270" s="18">
        <v>7969</v>
      </c>
      <c r="G270" s="19">
        <v>0.17</v>
      </c>
      <c r="H270" s="18">
        <v>21</v>
      </c>
      <c r="I270" s="18">
        <v>88.3</v>
      </c>
      <c r="J270" s="28">
        <v>2.25</v>
      </c>
      <c r="K270" s="18">
        <v>0</v>
      </c>
      <c r="L270" s="18">
        <v>0</v>
      </c>
      <c r="M270" s="18">
        <v>3.7</v>
      </c>
      <c r="N270" s="18">
        <v>0</v>
      </c>
      <c r="O270" s="18">
        <v>745580.51</v>
      </c>
      <c r="P270" s="18">
        <v>116273.68</v>
      </c>
      <c r="Q270" s="18">
        <v>0</v>
      </c>
      <c r="R270" s="28">
        <f t="shared" si="12"/>
        <v>10.943806489448185</v>
      </c>
      <c r="S270" s="28">
        <f t="shared" si="13"/>
        <v>13.521918401990403</v>
      </c>
      <c r="T270" s="28">
        <f t="shared" si="14"/>
        <v>8.9833142933977488</v>
      </c>
    </row>
    <row r="271" spans="1:20">
      <c r="A271" s="20" t="s">
        <v>89</v>
      </c>
      <c r="B271" s="21">
        <v>45748</v>
      </c>
      <c r="C271" s="20" t="s">
        <v>16</v>
      </c>
      <c r="D271" s="20" t="s">
        <v>19</v>
      </c>
      <c r="E271" s="22">
        <v>67722.289999999994</v>
      </c>
      <c r="F271" s="22">
        <v>7240</v>
      </c>
      <c r="G271" s="23">
        <v>2.5999999999999999E-2</v>
      </c>
      <c r="H271" s="22">
        <v>15</v>
      </c>
      <c r="I271" s="22">
        <v>92.9</v>
      </c>
      <c r="J271" s="29">
        <v>0.28999999999999998</v>
      </c>
      <c r="K271" s="22">
        <v>0</v>
      </c>
      <c r="L271" s="22">
        <v>0</v>
      </c>
      <c r="M271" s="22">
        <v>3.5</v>
      </c>
      <c r="N271" s="22">
        <v>0</v>
      </c>
      <c r="O271" s="22">
        <v>762328.31</v>
      </c>
      <c r="P271" s="22">
        <v>159158.19</v>
      </c>
      <c r="Q271" s="22">
        <v>0</v>
      </c>
      <c r="R271" s="29">
        <f t="shared" si="12"/>
        <v>11.123170651387088</v>
      </c>
      <c r="S271" s="29">
        <f t="shared" si="13"/>
        <v>13.544132594896647</v>
      </c>
      <c r="T271" s="29">
        <f t="shared" si="14"/>
        <v>8.8873764853797628</v>
      </c>
    </row>
    <row r="272" spans="1:20">
      <c r="A272" s="16" t="s">
        <v>90</v>
      </c>
      <c r="B272" s="17">
        <v>45658</v>
      </c>
      <c r="C272" s="16" t="s">
        <v>16</v>
      </c>
      <c r="D272" s="16" t="s">
        <v>29</v>
      </c>
      <c r="E272" s="18">
        <v>48752.92</v>
      </c>
      <c r="F272" s="18">
        <v>8052</v>
      </c>
      <c r="G272" s="19">
        <v>0.106</v>
      </c>
      <c r="H272" s="18">
        <v>16</v>
      </c>
      <c r="I272" s="18">
        <v>94.9</v>
      </c>
      <c r="J272" s="28">
        <v>0.65</v>
      </c>
      <c r="K272" s="18">
        <v>0</v>
      </c>
      <c r="L272" s="18">
        <v>0</v>
      </c>
      <c r="M272" s="18">
        <v>3.6</v>
      </c>
      <c r="N272" s="18">
        <v>0</v>
      </c>
      <c r="O272" s="18">
        <v>660633.99</v>
      </c>
      <c r="P272" s="18">
        <v>118768.66</v>
      </c>
      <c r="Q272" s="18">
        <v>0</v>
      </c>
      <c r="R272" s="28">
        <f t="shared" si="12"/>
        <v>10.79452037206811</v>
      </c>
      <c r="S272" s="28">
        <f t="shared" si="13"/>
        <v>13.400955243839496</v>
      </c>
      <c r="T272" s="28">
        <f t="shared" si="14"/>
        <v>8.9936757867596828</v>
      </c>
    </row>
    <row r="273" spans="1:20">
      <c r="A273" s="20" t="s">
        <v>90</v>
      </c>
      <c r="B273" s="21">
        <v>45689</v>
      </c>
      <c r="C273" s="20" t="s">
        <v>16</v>
      </c>
      <c r="D273" s="20" t="s">
        <v>29</v>
      </c>
      <c r="E273" s="22">
        <v>23914.97</v>
      </c>
      <c r="F273" s="22">
        <v>8018</v>
      </c>
      <c r="G273" s="23">
        <v>0.13900000000000001</v>
      </c>
      <c r="H273" s="22">
        <v>20</v>
      </c>
      <c r="I273" s="22">
        <v>89</v>
      </c>
      <c r="J273" s="29">
        <v>0.2</v>
      </c>
      <c r="K273" s="22">
        <v>0</v>
      </c>
      <c r="L273" s="22">
        <v>0</v>
      </c>
      <c r="M273" s="22">
        <v>3.5</v>
      </c>
      <c r="N273" s="22">
        <v>0</v>
      </c>
      <c r="O273" s="22">
        <v>739374.56</v>
      </c>
      <c r="P273" s="22">
        <v>121032.29</v>
      </c>
      <c r="Q273" s="22">
        <v>0</v>
      </c>
      <c r="R273" s="29">
        <f t="shared" si="12"/>
        <v>10.082259901670792</v>
      </c>
      <c r="S273" s="29">
        <f t="shared" si="13"/>
        <v>13.513559918617402</v>
      </c>
      <c r="T273" s="29">
        <f t="shared" si="14"/>
        <v>8.9894442932024514</v>
      </c>
    </row>
    <row r="274" spans="1:20">
      <c r="A274" s="16" t="s">
        <v>90</v>
      </c>
      <c r="B274" s="17">
        <v>45717</v>
      </c>
      <c r="C274" s="16" t="s">
        <v>16</v>
      </c>
      <c r="D274" s="16" t="s">
        <v>29</v>
      </c>
      <c r="E274" s="18">
        <v>61995.3</v>
      </c>
      <c r="F274" s="18">
        <v>10192</v>
      </c>
      <c r="G274" s="19">
        <v>0.19800000000000001</v>
      </c>
      <c r="H274" s="18">
        <v>21</v>
      </c>
      <c r="I274" s="18">
        <v>87.6</v>
      </c>
      <c r="J274" s="28">
        <v>3.63</v>
      </c>
      <c r="K274" s="18">
        <v>0</v>
      </c>
      <c r="L274" s="18">
        <v>1</v>
      </c>
      <c r="M274" s="18">
        <v>3.8</v>
      </c>
      <c r="N274" s="18">
        <v>0</v>
      </c>
      <c r="O274" s="18">
        <v>799756.46</v>
      </c>
      <c r="P274" s="18">
        <v>105052.93</v>
      </c>
      <c r="Q274" s="18">
        <v>0</v>
      </c>
      <c r="R274" s="28">
        <f t="shared" si="12"/>
        <v>11.034813854702161</v>
      </c>
      <c r="S274" s="28">
        <f t="shared" si="13"/>
        <v>13.592062535303368</v>
      </c>
      <c r="T274" s="28">
        <f t="shared" si="14"/>
        <v>9.2293583778119448</v>
      </c>
    </row>
    <row r="275" spans="1:20">
      <c r="A275" s="20" t="s">
        <v>90</v>
      </c>
      <c r="B275" s="21">
        <v>45748</v>
      </c>
      <c r="C275" s="20" t="s">
        <v>16</v>
      </c>
      <c r="D275" s="20" t="s">
        <v>29</v>
      </c>
      <c r="E275" s="22">
        <v>29344.93</v>
      </c>
      <c r="F275" s="22">
        <v>7446</v>
      </c>
      <c r="G275" s="23">
        <v>0.111</v>
      </c>
      <c r="H275" s="22">
        <v>15</v>
      </c>
      <c r="I275" s="22">
        <v>86.2</v>
      </c>
      <c r="J275" s="29">
        <v>0.2</v>
      </c>
      <c r="K275" s="22">
        <v>0</v>
      </c>
      <c r="L275" s="22">
        <v>0</v>
      </c>
      <c r="M275" s="22">
        <v>3.2</v>
      </c>
      <c r="N275" s="22">
        <v>0</v>
      </c>
      <c r="O275" s="22">
        <v>593343</v>
      </c>
      <c r="P275" s="22">
        <v>82832.240000000005</v>
      </c>
      <c r="Q275" s="22">
        <v>0</v>
      </c>
      <c r="R275" s="29">
        <f t="shared" si="12"/>
        <v>10.286875067574698</v>
      </c>
      <c r="S275" s="29">
        <f t="shared" si="13"/>
        <v>13.293527925602275</v>
      </c>
      <c r="T275" s="29">
        <f t="shared" si="14"/>
        <v>8.9154322544326625</v>
      </c>
    </row>
    <row r="276" spans="1:20">
      <c r="A276" s="16" t="s">
        <v>91</v>
      </c>
      <c r="B276" s="17">
        <v>45658</v>
      </c>
      <c r="C276" s="16" t="s">
        <v>28</v>
      </c>
      <c r="D276" s="16" t="s">
        <v>19</v>
      </c>
      <c r="E276" s="18">
        <v>50532.17</v>
      </c>
      <c r="F276" s="18">
        <v>5689</v>
      </c>
      <c r="G276" s="19">
        <v>5.1999999999999998E-2</v>
      </c>
      <c r="H276" s="18">
        <v>17</v>
      </c>
      <c r="I276" s="18">
        <v>85.6</v>
      </c>
      <c r="J276" s="28">
        <v>6.23</v>
      </c>
      <c r="K276" s="18">
        <v>0</v>
      </c>
      <c r="L276" s="18">
        <v>0</v>
      </c>
      <c r="M276" s="18">
        <v>3.3</v>
      </c>
      <c r="N276" s="18">
        <v>0</v>
      </c>
      <c r="O276" s="18">
        <v>645039.97</v>
      </c>
      <c r="P276" s="18">
        <v>83093.33</v>
      </c>
      <c r="Q276" s="18">
        <v>0</v>
      </c>
      <c r="R276" s="28">
        <f t="shared" si="12"/>
        <v>10.83036544214913</v>
      </c>
      <c r="S276" s="28">
        <f t="shared" si="13"/>
        <v>13.37706756285016</v>
      </c>
      <c r="T276" s="28">
        <f t="shared" si="14"/>
        <v>8.646289764750648</v>
      </c>
    </row>
    <row r="277" spans="1:20">
      <c r="A277" s="20" t="s">
        <v>91</v>
      </c>
      <c r="B277" s="21">
        <v>45689</v>
      </c>
      <c r="C277" s="20" t="s">
        <v>28</v>
      </c>
      <c r="D277" s="20" t="s">
        <v>19</v>
      </c>
      <c r="E277" s="22">
        <v>17562.57</v>
      </c>
      <c r="F277" s="22">
        <v>3326</v>
      </c>
      <c r="G277" s="23">
        <v>0.153</v>
      </c>
      <c r="H277" s="22">
        <v>14</v>
      </c>
      <c r="I277" s="22">
        <v>88.1</v>
      </c>
      <c r="J277" s="29">
        <v>1.04</v>
      </c>
      <c r="K277" s="22">
        <v>0</v>
      </c>
      <c r="L277" s="22">
        <v>0</v>
      </c>
      <c r="M277" s="22">
        <v>3.1</v>
      </c>
      <c r="N277" s="22">
        <v>0</v>
      </c>
      <c r="O277" s="22">
        <v>561597.32999999996</v>
      </c>
      <c r="P277" s="22">
        <v>75072.75</v>
      </c>
      <c r="Q277" s="22">
        <v>0</v>
      </c>
      <c r="R277" s="29">
        <f t="shared" si="12"/>
        <v>9.7735252118332827</v>
      </c>
      <c r="S277" s="29">
        <f t="shared" si="13"/>
        <v>13.238540377408933</v>
      </c>
      <c r="T277" s="29">
        <f t="shared" si="14"/>
        <v>8.1095256597528724</v>
      </c>
    </row>
    <row r="278" spans="1:20">
      <c r="A278" s="16" t="s">
        <v>91</v>
      </c>
      <c r="B278" s="17">
        <v>45717</v>
      </c>
      <c r="C278" s="16" t="s">
        <v>28</v>
      </c>
      <c r="D278" s="16" t="s">
        <v>19</v>
      </c>
      <c r="E278" s="18">
        <v>47648.71</v>
      </c>
      <c r="F278" s="18">
        <v>5767</v>
      </c>
      <c r="G278" s="19">
        <v>0.14099999999999999</v>
      </c>
      <c r="H278" s="18">
        <v>17</v>
      </c>
      <c r="I278" s="18">
        <v>89.8</v>
      </c>
      <c r="J278" s="28">
        <v>1.76</v>
      </c>
      <c r="K278" s="18">
        <v>0</v>
      </c>
      <c r="L278" s="18">
        <v>0</v>
      </c>
      <c r="M278" s="18">
        <v>3.1</v>
      </c>
      <c r="N278" s="18">
        <v>0</v>
      </c>
      <c r="O278" s="18">
        <v>635837.74</v>
      </c>
      <c r="P278" s="18">
        <v>114740.64</v>
      </c>
      <c r="Q278" s="18">
        <v>0</v>
      </c>
      <c r="R278" s="28">
        <f t="shared" si="12"/>
        <v>10.771610836312947</v>
      </c>
      <c r="S278" s="28">
        <f t="shared" si="13"/>
        <v>13.362698683985975</v>
      </c>
      <c r="T278" s="28">
        <f t="shared" si="14"/>
        <v>8.6599072936154133</v>
      </c>
    </row>
    <row r="279" spans="1:20">
      <c r="A279" s="20" t="s">
        <v>91</v>
      </c>
      <c r="B279" s="21">
        <v>45748</v>
      </c>
      <c r="C279" s="20" t="s">
        <v>28</v>
      </c>
      <c r="D279" s="20" t="s">
        <v>19</v>
      </c>
      <c r="E279" s="22">
        <v>38297.58</v>
      </c>
      <c r="F279" s="22">
        <v>5893</v>
      </c>
      <c r="G279" s="23">
        <v>0.247</v>
      </c>
      <c r="H279" s="22">
        <v>18</v>
      </c>
      <c r="I279" s="22">
        <v>77.599999999999994</v>
      </c>
      <c r="J279" s="29">
        <v>2.86</v>
      </c>
      <c r="K279" s="22">
        <v>0</v>
      </c>
      <c r="L279" s="22">
        <v>0</v>
      </c>
      <c r="M279" s="22">
        <v>3</v>
      </c>
      <c r="N279" s="22">
        <v>0</v>
      </c>
      <c r="O279" s="22">
        <v>686737.87</v>
      </c>
      <c r="P279" s="22">
        <v>83839.67</v>
      </c>
      <c r="Q279" s="22">
        <v>0</v>
      </c>
      <c r="R279" s="29">
        <f t="shared" si="12"/>
        <v>10.553141987793866</v>
      </c>
      <c r="S279" s="29">
        <f t="shared" si="13"/>
        <v>13.439707940896541</v>
      </c>
      <c r="T279" s="29">
        <f t="shared" si="14"/>
        <v>8.6815204848379128</v>
      </c>
    </row>
    <row r="280" spans="1:20">
      <c r="A280" s="16" t="s">
        <v>92</v>
      </c>
      <c r="B280" s="17">
        <v>45658</v>
      </c>
      <c r="C280" s="16" t="s">
        <v>25</v>
      </c>
      <c r="D280" s="16" t="s">
        <v>17</v>
      </c>
      <c r="E280" s="18">
        <v>61784.11</v>
      </c>
      <c r="F280" s="18">
        <v>8564</v>
      </c>
      <c r="G280" s="19">
        <v>0.13</v>
      </c>
      <c r="H280" s="18">
        <v>17</v>
      </c>
      <c r="I280" s="18">
        <v>87.4</v>
      </c>
      <c r="J280" s="28">
        <v>18.14</v>
      </c>
      <c r="K280" s="18">
        <v>0</v>
      </c>
      <c r="L280" s="18">
        <v>1</v>
      </c>
      <c r="M280" s="18">
        <v>3.4</v>
      </c>
      <c r="N280" s="18">
        <v>0</v>
      </c>
      <c r="O280" s="18">
        <v>673076.34</v>
      </c>
      <c r="P280" s="18">
        <v>93899.76</v>
      </c>
      <c r="Q280" s="18">
        <v>0</v>
      </c>
      <c r="R280" s="28">
        <f t="shared" si="12"/>
        <v>11.031401490643734</v>
      </c>
      <c r="S280" s="28">
        <f t="shared" si="13"/>
        <v>13.419614034586171</v>
      </c>
      <c r="T280" s="28">
        <f t="shared" si="14"/>
        <v>9.0553226497095736</v>
      </c>
    </row>
    <row r="281" spans="1:20">
      <c r="A281" s="20" t="s">
        <v>92</v>
      </c>
      <c r="B281" s="21">
        <v>45689</v>
      </c>
      <c r="C281" s="20" t="s">
        <v>25</v>
      </c>
      <c r="D281" s="20" t="s">
        <v>17</v>
      </c>
      <c r="E281" s="22">
        <v>36832.33</v>
      </c>
      <c r="F281" s="22">
        <v>8001</v>
      </c>
      <c r="G281" s="23">
        <v>0</v>
      </c>
      <c r="H281" s="22">
        <v>19</v>
      </c>
      <c r="I281" s="22">
        <v>88.7</v>
      </c>
      <c r="J281" s="29">
        <v>3.39</v>
      </c>
      <c r="K281" s="22">
        <v>0</v>
      </c>
      <c r="L281" s="22">
        <v>0</v>
      </c>
      <c r="M281" s="22">
        <v>4</v>
      </c>
      <c r="N281" s="22">
        <v>0</v>
      </c>
      <c r="O281" s="22">
        <v>738548.42</v>
      </c>
      <c r="P281" s="22">
        <v>134282.76999999999</v>
      </c>
      <c r="Q281" s="22">
        <v>0</v>
      </c>
      <c r="R281" s="29">
        <f t="shared" si="12"/>
        <v>10.514131271081819</v>
      </c>
      <c r="S281" s="29">
        <f t="shared" si="13"/>
        <v>13.512441944139399</v>
      </c>
      <c r="T281" s="29">
        <f t="shared" si="14"/>
        <v>8.9873218128501247</v>
      </c>
    </row>
    <row r="282" spans="1:20">
      <c r="A282" s="16" t="s">
        <v>92</v>
      </c>
      <c r="B282" s="17">
        <v>45717</v>
      </c>
      <c r="C282" s="16" t="s">
        <v>25</v>
      </c>
      <c r="D282" s="16" t="s">
        <v>17</v>
      </c>
      <c r="E282" s="18">
        <v>48609.41</v>
      </c>
      <c r="F282" s="18">
        <v>9324</v>
      </c>
      <c r="G282" s="19">
        <v>0.21299999999999999</v>
      </c>
      <c r="H282" s="18">
        <v>18</v>
      </c>
      <c r="I282" s="18">
        <v>86.5</v>
      </c>
      <c r="J282" s="28">
        <v>1.44</v>
      </c>
      <c r="K282" s="18">
        <v>0</v>
      </c>
      <c r="L282" s="18">
        <v>0</v>
      </c>
      <c r="M282" s="18">
        <v>3.9</v>
      </c>
      <c r="N282" s="18">
        <v>0</v>
      </c>
      <c r="O282" s="18">
        <v>756619.77</v>
      </c>
      <c r="P282" s="18">
        <v>112057.69</v>
      </c>
      <c r="Q282" s="18">
        <v>0</v>
      </c>
      <c r="R282" s="28">
        <f t="shared" si="12"/>
        <v>10.791572412545559</v>
      </c>
      <c r="S282" s="28">
        <f t="shared" si="13"/>
        <v>13.536616120895193</v>
      </c>
      <c r="T282" s="28">
        <f t="shared" si="14"/>
        <v>9.1403470001556482</v>
      </c>
    </row>
    <row r="283" spans="1:20">
      <c r="A283" s="20" t="s">
        <v>92</v>
      </c>
      <c r="B283" s="21">
        <v>45748</v>
      </c>
      <c r="C283" s="20" t="s">
        <v>25</v>
      </c>
      <c r="D283" s="20" t="s">
        <v>17</v>
      </c>
      <c r="E283" s="22">
        <v>70284.06</v>
      </c>
      <c r="F283" s="22">
        <v>9109</v>
      </c>
      <c r="G283" s="23">
        <v>4.0000000000000001E-3</v>
      </c>
      <c r="H283" s="22">
        <v>23</v>
      </c>
      <c r="I283" s="22">
        <v>87</v>
      </c>
      <c r="J283" s="29">
        <v>3.65</v>
      </c>
      <c r="K283" s="22">
        <v>0</v>
      </c>
      <c r="L283" s="22">
        <v>0</v>
      </c>
      <c r="M283" s="22">
        <v>3.7</v>
      </c>
      <c r="N283" s="22">
        <v>0</v>
      </c>
      <c r="O283" s="22">
        <v>761122.42</v>
      </c>
      <c r="P283" s="22">
        <v>149802.04</v>
      </c>
      <c r="Q283" s="22">
        <v>0</v>
      </c>
      <c r="R283" s="29">
        <f t="shared" si="12"/>
        <v>11.160300309556776</v>
      </c>
      <c r="S283" s="29">
        <f t="shared" si="13"/>
        <v>13.542549491185964</v>
      </c>
      <c r="T283" s="29">
        <f t="shared" si="14"/>
        <v>9.1170182147448102</v>
      </c>
    </row>
    <row r="284" spans="1:20">
      <c r="A284" s="16" t="s">
        <v>93</v>
      </c>
      <c r="B284" s="17">
        <v>45658</v>
      </c>
      <c r="C284" s="16" t="s">
        <v>25</v>
      </c>
      <c r="D284" s="16" t="s">
        <v>19</v>
      </c>
      <c r="E284" s="18">
        <v>45940.39</v>
      </c>
      <c r="F284" s="18">
        <v>4022</v>
      </c>
      <c r="G284" s="19">
        <v>6.9000000000000006E-2</v>
      </c>
      <c r="H284" s="18">
        <v>10</v>
      </c>
      <c r="I284" s="18">
        <v>83</v>
      </c>
      <c r="J284" s="28">
        <v>1.23</v>
      </c>
      <c r="K284" s="18">
        <v>0</v>
      </c>
      <c r="L284" s="18">
        <v>1</v>
      </c>
      <c r="M284" s="18">
        <v>3.8</v>
      </c>
      <c r="N284" s="18">
        <v>0</v>
      </c>
      <c r="O284" s="18">
        <v>524899.56999999995</v>
      </c>
      <c r="P284" s="18">
        <v>63619.98</v>
      </c>
      <c r="Q284" s="18">
        <v>0</v>
      </c>
      <c r="R284" s="28">
        <f t="shared" si="12"/>
        <v>10.735099965540968</v>
      </c>
      <c r="S284" s="28">
        <f t="shared" si="13"/>
        <v>13.170962228036398</v>
      </c>
      <c r="T284" s="28">
        <f t="shared" si="14"/>
        <v>8.2995345703325967</v>
      </c>
    </row>
    <row r="285" spans="1:20">
      <c r="A285" s="20" t="s">
        <v>93</v>
      </c>
      <c r="B285" s="21">
        <v>45689</v>
      </c>
      <c r="C285" s="20" t="s">
        <v>25</v>
      </c>
      <c r="D285" s="20" t="s">
        <v>19</v>
      </c>
      <c r="E285" s="22">
        <v>34771.26</v>
      </c>
      <c r="F285" s="22">
        <v>4355</v>
      </c>
      <c r="G285" s="23">
        <v>5.0999999999999997E-2</v>
      </c>
      <c r="H285" s="22">
        <v>15</v>
      </c>
      <c r="I285" s="22">
        <v>87.9</v>
      </c>
      <c r="J285" s="29">
        <v>3.09</v>
      </c>
      <c r="K285" s="22">
        <v>0</v>
      </c>
      <c r="L285" s="22">
        <v>0</v>
      </c>
      <c r="M285" s="22">
        <v>4</v>
      </c>
      <c r="N285" s="22">
        <v>0</v>
      </c>
      <c r="O285" s="22">
        <v>555557.77</v>
      </c>
      <c r="P285" s="22">
        <v>86475.51</v>
      </c>
      <c r="Q285" s="22">
        <v>0</v>
      </c>
      <c r="R285" s="29">
        <f t="shared" si="12"/>
        <v>10.456546462481645</v>
      </c>
      <c r="S285" s="29">
        <f t="shared" si="13"/>
        <v>13.227727879054211</v>
      </c>
      <c r="T285" s="29">
        <f t="shared" si="14"/>
        <v>8.3790798892866025</v>
      </c>
    </row>
    <row r="286" spans="1:20">
      <c r="A286" s="16" t="s">
        <v>93</v>
      </c>
      <c r="B286" s="17">
        <v>45717</v>
      </c>
      <c r="C286" s="16" t="s">
        <v>25</v>
      </c>
      <c r="D286" s="16" t="s">
        <v>19</v>
      </c>
      <c r="E286" s="18">
        <v>66104.19</v>
      </c>
      <c r="F286" s="18">
        <v>5745</v>
      </c>
      <c r="G286" s="19">
        <v>7.0000000000000007E-2</v>
      </c>
      <c r="H286" s="18">
        <v>17</v>
      </c>
      <c r="I286" s="18">
        <v>95.8</v>
      </c>
      <c r="J286" s="28">
        <v>3.15</v>
      </c>
      <c r="K286" s="18">
        <v>0</v>
      </c>
      <c r="L286" s="18">
        <v>0</v>
      </c>
      <c r="M286" s="18">
        <v>4</v>
      </c>
      <c r="N286" s="18">
        <v>0</v>
      </c>
      <c r="O286" s="18">
        <v>714083.68</v>
      </c>
      <c r="P286" s="18">
        <v>127231.74</v>
      </c>
      <c r="Q286" s="18">
        <v>0</v>
      </c>
      <c r="R286" s="28">
        <f t="shared" si="12"/>
        <v>11.098987412635633</v>
      </c>
      <c r="S286" s="28">
        <f t="shared" si="13"/>
        <v>13.478755433334021</v>
      </c>
      <c r="T286" s="28">
        <f t="shared" si="14"/>
        <v>8.6560851902828553</v>
      </c>
    </row>
    <row r="287" spans="1:20">
      <c r="A287" s="20" t="s">
        <v>93</v>
      </c>
      <c r="B287" s="21">
        <v>45748</v>
      </c>
      <c r="C287" s="20" t="s">
        <v>25</v>
      </c>
      <c r="D287" s="20" t="s">
        <v>19</v>
      </c>
      <c r="E287" s="22">
        <v>18599.21</v>
      </c>
      <c r="F287" s="22">
        <v>3027</v>
      </c>
      <c r="G287" s="23">
        <v>0.122</v>
      </c>
      <c r="H287" s="22">
        <v>11</v>
      </c>
      <c r="I287" s="22">
        <v>80.900000000000006</v>
      </c>
      <c r="J287" s="29">
        <v>6.44</v>
      </c>
      <c r="K287" s="22">
        <v>0</v>
      </c>
      <c r="L287" s="22">
        <v>0</v>
      </c>
      <c r="M287" s="22">
        <v>4.2</v>
      </c>
      <c r="N287" s="22">
        <v>0</v>
      </c>
      <c r="O287" s="22">
        <v>497439.82</v>
      </c>
      <c r="P287" s="22">
        <v>93372.75</v>
      </c>
      <c r="Q287" s="22">
        <v>0</v>
      </c>
      <c r="R287" s="29">
        <f t="shared" si="12"/>
        <v>9.830874385681005</v>
      </c>
      <c r="S287" s="29">
        <f t="shared" si="13"/>
        <v>13.11722986343983</v>
      </c>
      <c r="T287" s="29">
        <f t="shared" si="14"/>
        <v>8.0153273090217194</v>
      </c>
    </row>
    <row r="288" spans="1:20">
      <c r="A288" s="16" t="s">
        <v>94</v>
      </c>
      <c r="B288" s="17">
        <v>45658</v>
      </c>
      <c r="C288" s="16" t="s">
        <v>28</v>
      </c>
      <c r="D288" s="16" t="s">
        <v>17</v>
      </c>
      <c r="E288" s="18">
        <v>60183.06</v>
      </c>
      <c r="F288" s="18">
        <v>5562</v>
      </c>
      <c r="G288" s="19">
        <v>8.9999999999999993E-3</v>
      </c>
      <c r="H288" s="18">
        <v>13</v>
      </c>
      <c r="I288" s="18">
        <v>86.3</v>
      </c>
      <c r="J288" s="28">
        <v>0.2</v>
      </c>
      <c r="K288" s="18">
        <v>0</v>
      </c>
      <c r="L288" s="18">
        <v>1</v>
      </c>
      <c r="M288" s="18">
        <v>4.5</v>
      </c>
      <c r="N288" s="18">
        <v>0</v>
      </c>
      <c r="O288" s="18">
        <v>636775.66</v>
      </c>
      <c r="P288" s="18">
        <v>122636.86</v>
      </c>
      <c r="Q288" s="18">
        <v>0</v>
      </c>
      <c r="R288" s="28">
        <f t="shared" si="12"/>
        <v>11.005146196348974</v>
      </c>
      <c r="S288" s="28">
        <f t="shared" si="13"/>
        <v>13.364172690420009</v>
      </c>
      <c r="T288" s="28">
        <f t="shared" si="14"/>
        <v>8.6237130347939104</v>
      </c>
    </row>
    <row r="289" spans="1:20">
      <c r="A289" s="20" t="s">
        <v>94</v>
      </c>
      <c r="B289" s="21">
        <v>45689</v>
      </c>
      <c r="C289" s="20" t="s">
        <v>28</v>
      </c>
      <c r="D289" s="20" t="s">
        <v>17</v>
      </c>
      <c r="E289" s="22">
        <v>74539.14</v>
      </c>
      <c r="F289" s="22">
        <v>4487</v>
      </c>
      <c r="G289" s="23">
        <v>0.14000000000000001</v>
      </c>
      <c r="H289" s="22">
        <v>10</v>
      </c>
      <c r="I289" s="22">
        <v>90.4</v>
      </c>
      <c r="J289" s="29">
        <v>0.59</v>
      </c>
      <c r="K289" s="22">
        <v>0</v>
      </c>
      <c r="L289" s="22">
        <v>0</v>
      </c>
      <c r="M289" s="22">
        <v>4.5</v>
      </c>
      <c r="N289" s="22">
        <v>0</v>
      </c>
      <c r="O289" s="22">
        <v>633009.53</v>
      </c>
      <c r="P289" s="22">
        <v>123782.67</v>
      </c>
      <c r="Q289" s="22">
        <v>0</v>
      </c>
      <c r="R289" s="29">
        <f t="shared" si="12"/>
        <v>11.219079635537124</v>
      </c>
      <c r="S289" s="29">
        <f t="shared" si="13"/>
        <v>13.358240756305243</v>
      </c>
      <c r="T289" s="29">
        <f t="shared" si="14"/>
        <v>8.4089396059759842</v>
      </c>
    </row>
    <row r="290" spans="1:20">
      <c r="A290" s="16" t="s">
        <v>94</v>
      </c>
      <c r="B290" s="17">
        <v>45717</v>
      </c>
      <c r="C290" s="16" t="s">
        <v>28</v>
      </c>
      <c r="D290" s="16" t="s">
        <v>17</v>
      </c>
      <c r="E290" s="18">
        <v>55371.97</v>
      </c>
      <c r="F290" s="18">
        <v>4162</v>
      </c>
      <c r="G290" s="19">
        <v>0.183</v>
      </c>
      <c r="H290" s="18">
        <v>11</v>
      </c>
      <c r="I290" s="18">
        <v>92</v>
      </c>
      <c r="J290" s="28">
        <v>0.2</v>
      </c>
      <c r="K290" s="18">
        <v>0</v>
      </c>
      <c r="L290" s="18">
        <v>1</v>
      </c>
      <c r="M290" s="18">
        <v>4.2</v>
      </c>
      <c r="N290" s="18">
        <v>0</v>
      </c>
      <c r="O290" s="18">
        <v>609949</v>
      </c>
      <c r="P290" s="18">
        <v>126789.25</v>
      </c>
      <c r="Q290" s="18">
        <v>0</v>
      </c>
      <c r="R290" s="28">
        <f t="shared" si="12"/>
        <v>10.921828788017404</v>
      </c>
      <c r="S290" s="28">
        <f t="shared" si="13"/>
        <v>13.321130626096894</v>
      </c>
      <c r="T290" s="28">
        <f t="shared" si="14"/>
        <v>8.3337510069535803</v>
      </c>
    </row>
    <row r="291" spans="1:20">
      <c r="A291" s="20" t="s">
        <v>94</v>
      </c>
      <c r="B291" s="21">
        <v>45748</v>
      </c>
      <c r="C291" s="20" t="s">
        <v>28</v>
      </c>
      <c r="D291" s="20" t="s">
        <v>17</v>
      </c>
      <c r="E291" s="22">
        <v>40928.69</v>
      </c>
      <c r="F291" s="22">
        <v>4094</v>
      </c>
      <c r="G291" s="23">
        <v>0.17399999999999999</v>
      </c>
      <c r="H291" s="22">
        <v>13</v>
      </c>
      <c r="I291" s="22">
        <v>82.4</v>
      </c>
      <c r="J291" s="29">
        <v>1.36</v>
      </c>
      <c r="K291" s="22">
        <v>0</v>
      </c>
      <c r="L291" s="22">
        <v>0</v>
      </c>
      <c r="M291" s="22">
        <v>4.8</v>
      </c>
      <c r="N291" s="22">
        <v>0</v>
      </c>
      <c r="O291" s="22">
        <v>548103.69999999995</v>
      </c>
      <c r="P291" s="22">
        <v>99905.52</v>
      </c>
      <c r="Q291" s="22">
        <v>0</v>
      </c>
      <c r="R291" s="29">
        <f t="shared" si="12"/>
        <v>10.61958656311058</v>
      </c>
      <c r="S291" s="29">
        <f t="shared" si="13"/>
        <v>13.214219781604379</v>
      </c>
      <c r="T291" s="29">
        <f t="shared" si="14"/>
        <v>8.3172777662212347</v>
      </c>
    </row>
    <row r="292" spans="1:20">
      <c r="A292" s="16" t="s">
        <v>95</v>
      </c>
      <c r="B292" s="17">
        <v>45658</v>
      </c>
      <c r="C292" s="16" t="s">
        <v>16</v>
      </c>
      <c r="D292" s="16" t="s">
        <v>17</v>
      </c>
      <c r="E292" s="18">
        <v>70012.41</v>
      </c>
      <c r="F292" s="18">
        <v>8484</v>
      </c>
      <c r="G292" s="19">
        <v>0.27300000000000002</v>
      </c>
      <c r="H292" s="18">
        <v>23</v>
      </c>
      <c r="I292" s="18">
        <v>72.900000000000006</v>
      </c>
      <c r="J292" s="28">
        <v>3.34</v>
      </c>
      <c r="K292" s="18">
        <v>0</v>
      </c>
      <c r="L292" s="18">
        <v>0</v>
      </c>
      <c r="M292" s="18">
        <v>3.7</v>
      </c>
      <c r="N292" s="18">
        <v>0</v>
      </c>
      <c r="O292" s="18">
        <v>729424.42</v>
      </c>
      <c r="P292" s="18">
        <v>75592.28</v>
      </c>
      <c r="Q292" s="18">
        <v>0</v>
      </c>
      <c r="R292" s="28">
        <f t="shared" si="12"/>
        <v>11.156427791032527</v>
      </c>
      <c r="S292" s="28">
        <f t="shared" si="13"/>
        <v>13.500011036368539</v>
      </c>
      <c r="T292" s="28">
        <f t="shared" si="14"/>
        <v>9.0459373156845739</v>
      </c>
    </row>
    <row r="293" spans="1:20">
      <c r="A293" s="20" t="s">
        <v>95</v>
      </c>
      <c r="B293" s="21">
        <v>45689</v>
      </c>
      <c r="C293" s="20" t="s">
        <v>16</v>
      </c>
      <c r="D293" s="20" t="s">
        <v>17</v>
      </c>
      <c r="E293" s="22">
        <v>68909.259999999995</v>
      </c>
      <c r="F293" s="22">
        <v>7794</v>
      </c>
      <c r="G293" s="23">
        <v>0.28399999999999997</v>
      </c>
      <c r="H293" s="22">
        <v>22</v>
      </c>
      <c r="I293" s="22">
        <v>89</v>
      </c>
      <c r="J293" s="29">
        <v>0.33</v>
      </c>
      <c r="K293" s="22">
        <v>0</v>
      </c>
      <c r="L293" s="22">
        <v>0</v>
      </c>
      <c r="M293" s="22">
        <v>4</v>
      </c>
      <c r="N293" s="22">
        <v>0</v>
      </c>
      <c r="O293" s="22">
        <v>696261.49</v>
      </c>
      <c r="P293" s="22">
        <v>72455.350000000006</v>
      </c>
      <c r="Q293" s="22">
        <v>0</v>
      </c>
      <c r="R293" s="29">
        <f t="shared" si="12"/>
        <v>11.140545845648985</v>
      </c>
      <c r="S293" s="29">
        <f t="shared" si="13"/>
        <v>13.45348057278046</v>
      </c>
      <c r="T293" s="29">
        <f t="shared" si="14"/>
        <v>8.9611094858986551</v>
      </c>
    </row>
    <row r="294" spans="1:20">
      <c r="A294" s="16" t="s">
        <v>95</v>
      </c>
      <c r="B294" s="17">
        <v>45717</v>
      </c>
      <c r="C294" s="16" t="s">
        <v>16</v>
      </c>
      <c r="D294" s="16" t="s">
        <v>17</v>
      </c>
      <c r="E294" s="18">
        <v>56737.3</v>
      </c>
      <c r="F294" s="18">
        <v>8300</v>
      </c>
      <c r="G294" s="19">
        <v>3.2000000000000001E-2</v>
      </c>
      <c r="H294" s="18">
        <v>21</v>
      </c>
      <c r="I294" s="18">
        <v>83.2</v>
      </c>
      <c r="J294" s="28">
        <v>3.44</v>
      </c>
      <c r="K294" s="18">
        <v>0</v>
      </c>
      <c r="L294" s="18">
        <v>1</v>
      </c>
      <c r="M294" s="18">
        <v>4.3</v>
      </c>
      <c r="N294" s="18">
        <v>0</v>
      </c>
      <c r="O294" s="18">
        <v>813316.71</v>
      </c>
      <c r="P294" s="18">
        <v>110077.42</v>
      </c>
      <c r="Q294" s="18">
        <v>0</v>
      </c>
      <c r="R294" s="28">
        <f t="shared" si="12"/>
        <v>10.946187121753001</v>
      </c>
      <c r="S294" s="28">
        <f t="shared" si="13"/>
        <v>13.608875869867815</v>
      </c>
      <c r="T294" s="28">
        <f t="shared" si="14"/>
        <v>9.0240107937846901</v>
      </c>
    </row>
    <row r="295" spans="1:20">
      <c r="A295" s="20" t="s">
        <v>95</v>
      </c>
      <c r="B295" s="21">
        <v>45748</v>
      </c>
      <c r="C295" s="20" t="s">
        <v>16</v>
      </c>
      <c r="D295" s="20" t="s">
        <v>17</v>
      </c>
      <c r="E295" s="22">
        <v>54080.91</v>
      </c>
      <c r="F295" s="22">
        <v>7083</v>
      </c>
      <c r="G295" s="23">
        <v>0</v>
      </c>
      <c r="H295" s="22">
        <v>15</v>
      </c>
      <c r="I295" s="22">
        <v>97</v>
      </c>
      <c r="J295" s="29">
        <v>5.33</v>
      </c>
      <c r="K295" s="22">
        <v>0</v>
      </c>
      <c r="L295" s="22">
        <v>0</v>
      </c>
      <c r="M295" s="22">
        <v>4.0999999999999996</v>
      </c>
      <c r="N295" s="22">
        <v>0</v>
      </c>
      <c r="O295" s="22">
        <v>702068.92</v>
      </c>
      <c r="P295" s="22">
        <v>111266.63</v>
      </c>
      <c r="Q295" s="22">
        <v>0</v>
      </c>
      <c r="R295" s="29">
        <f t="shared" si="12"/>
        <v>10.898236537498352</v>
      </c>
      <c r="S295" s="29">
        <f t="shared" si="13"/>
        <v>13.461786854827114</v>
      </c>
      <c r="T295" s="29">
        <f t="shared" si="14"/>
        <v>8.8654528257536231</v>
      </c>
    </row>
    <row r="296" spans="1:20">
      <c r="A296" s="16" t="s">
        <v>96</v>
      </c>
      <c r="B296" s="17">
        <v>45658</v>
      </c>
      <c r="C296" s="16" t="s">
        <v>28</v>
      </c>
      <c r="D296" s="16" t="s">
        <v>19</v>
      </c>
      <c r="E296" s="18">
        <v>51996.32</v>
      </c>
      <c r="F296" s="18">
        <v>3834</v>
      </c>
      <c r="G296" s="19">
        <v>9.6000000000000002E-2</v>
      </c>
      <c r="H296" s="18">
        <v>8</v>
      </c>
      <c r="I296" s="18">
        <v>86.7</v>
      </c>
      <c r="J296" s="28">
        <v>6.04</v>
      </c>
      <c r="K296" s="18">
        <v>0</v>
      </c>
      <c r="L296" s="18">
        <v>0</v>
      </c>
      <c r="M296" s="18">
        <v>4.5</v>
      </c>
      <c r="N296" s="18">
        <v>0</v>
      </c>
      <c r="O296" s="18">
        <v>546223.69999999995</v>
      </c>
      <c r="P296" s="18">
        <v>100769.17</v>
      </c>
      <c r="Q296" s="18">
        <v>0</v>
      </c>
      <c r="R296" s="28">
        <f t="shared" si="12"/>
        <v>10.858928225828535</v>
      </c>
      <c r="S296" s="28">
        <f t="shared" si="13"/>
        <v>13.21078387777977</v>
      </c>
      <c r="T296" s="28">
        <f t="shared" si="14"/>
        <v>8.2516639236055891</v>
      </c>
    </row>
    <row r="297" spans="1:20">
      <c r="A297" s="20" t="s">
        <v>96</v>
      </c>
      <c r="B297" s="21">
        <v>45689</v>
      </c>
      <c r="C297" s="20" t="s">
        <v>28</v>
      </c>
      <c r="D297" s="20" t="s">
        <v>19</v>
      </c>
      <c r="E297" s="22">
        <v>40102.879999999997</v>
      </c>
      <c r="F297" s="22">
        <v>2358</v>
      </c>
      <c r="G297" s="23">
        <v>0.11899999999999999</v>
      </c>
      <c r="H297" s="22">
        <v>9</v>
      </c>
      <c r="I297" s="22">
        <v>88.7</v>
      </c>
      <c r="J297" s="29">
        <v>1.6</v>
      </c>
      <c r="K297" s="22">
        <v>0</v>
      </c>
      <c r="L297" s="22">
        <v>0</v>
      </c>
      <c r="M297" s="22">
        <v>4.2</v>
      </c>
      <c r="N297" s="22">
        <v>0</v>
      </c>
      <c r="O297" s="22">
        <v>533121.26</v>
      </c>
      <c r="P297" s="22">
        <v>55063.39</v>
      </c>
      <c r="Q297" s="22">
        <v>0</v>
      </c>
      <c r="R297" s="29">
        <f t="shared" si="12"/>
        <v>10.599203431164574</v>
      </c>
      <c r="S297" s="29">
        <f t="shared" si="13"/>
        <v>13.186504181963146</v>
      </c>
      <c r="T297" s="29">
        <f t="shared" si="14"/>
        <v>7.7655690810973166</v>
      </c>
    </row>
    <row r="298" spans="1:20">
      <c r="A298" s="16" t="s">
        <v>96</v>
      </c>
      <c r="B298" s="17">
        <v>45717</v>
      </c>
      <c r="C298" s="16" t="s">
        <v>28</v>
      </c>
      <c r="D298" s="16" t="s">
        <v>19</v>
      </c>
      <c r="E298" s="18">
        <v>59825.51</v>
      </c>
      <c r="F298" s="18">
        <v>1231</v>
      </c>
      <c r="G298" s="19">
        <v>0.214</v>
      </c>
      <c r="H298" s="18">
        <v>10</v>
      </c>
      <c r="I298" s="18">
        <v>84.8</v>
      </c>
      <c r="J298" s="28">
        <v>8.9600000000000009</v>
      </c>
      <c r="K298" s="18">
        <v>0</v>
      </c>
      <c r="L298" s="18">
        <v>0</v>
      </c>
      <c r="M298" s="18">
        <v>4.7</v>
      </c>
      <c r="N298" s="18">
        <v>0</v>
      </c>
      <c r="O298" s="18">
        <v>498970.32</v>
      </c>
      <c r="P298" s="18">
        <v>69656.7</v>
      </c>
      <c r="Q298" s="18">
        <v>0</v>
      </c>
      <c r="R298" s="28">
        <f t="shared" si="12"/>
        <v>10.999187437604425</v>
      </c>
      <c r="S298" s="28">
        <f t="shared" si="13"/>
        <v>13.120301894006797</v>
      </c>
      <c r="T298" s="28">
        <f t="shared" si="14"/>
        <v>7.1155821261844538</v>
      </c>
    </row>
    <row r="299" spans="1:20">
      <c r="A299" s="20" t="s">
        <v>96</v>
      </c>
      <c r="B299" s="21">
        <v>45748</v>
      </c>
      <c r="C299" s="20" t="s">
        <v>28</v>
      </c>
      <c r="D299" s="20" t="s">
        <v>19</v>
      </c>
      <c r="E299" s="22">
        <v>27398.28</v>
      </c>
      <c r="F299" s="22">
        <v>1723</v>
      </c>
      <c r="G299" s="23">
        <v>0.17100000000000001</v>
      </c>
      <c r="H299" s="22">
        <v>9</v>
      </c>
      <c r="I299" s="22">
        <v>81</v>
      </c>
      <c r="J299" s="29">
        <v>0.74</v>
      </c>
      <c r="K299" s="22">
        <v>0</v>
      </c>
      <c r="L299" s="22">
        <v>0</v>
      </c>
      <c r="M299" s="22">
        <v>4.5999999999999996</v>
      </c>
      <c r="N299" s="22">
        <v>0</v>
      </c>
      <c r="O299" s="22">
        <v>487738.26</v>
      </c>
      <c r="P299" s="22">
        <v>96435.6</v>
      </c>
      <c r="Q299" s="22">
        <v>0</v>
      </c>
      <c r="R299" s="29">
        <f t="shared" si="12"/>
        <v>10.218235516683182</v>
      </c>
      <c r="S299" s="29">
        <f t="shared" si="13"/>
        <v>13.097534188487835</v>
      </c>
      <c r="T299" s="29">
        <f t="shared" si="14"/>
        <v>7.4518222365279296</v>
      </c>
    </row>
    <row r="300" spans="1:20">
      <c r="A300" s="16" t="s">
        <v>97</v>
      </c>
      <c r="B300" s="17">
        <v>45658</v>
      </c>
      <c r="C300" s="16" t="s">
        <v>28</v>
      </c>
      <c r="D300" s="16" t="s">
        <v>19</v>
      </c>
      <c r="E300" s="18">
        <v>55599.56</v>
      </c>
      <c r="F300" s="18">
        <v>5896</v>
      </c>
      <c r="G300" s="19">
        <v>3.5999999999999997E-2</v>
      </c>
      <c r="H300" s="18">
        <v>12</v>
      </c>
      <c r="I300" s="18">
        <v>93.1</v>
      </c>
      <c r="J300" s="28">
        <v>6.13</v>
      </c>
      <c r="K300" s="18">
        <v>0</v>
      </c>
      <c r="L300" s="18">
        <v>0</v>
      </c>
      <c r="M300" s="18">
        <v>3.3</v>
      </c>
      <c r="N300" s="18">
        <v>0</v>
      </c>
      <c r="O300" s="18">
        <v>668459.37</v>
      </c>
      <c r="P300" s="18">
        <v>126435.42</v>
      </c>
      <c r="Q300" s="18">
        <v>0</v>
      </c>
      <c r="R300" s="28">
        <f t="shared" si="12"/>
        <v>10.925930566538296</v>
      </c>
      <c r="S300" s="28">
        <f t="shared" si="13"/>
        <v>13.412730895816203</v>
      </c>
      <c r="T300" s="28">
        <f t="shared" si="14"/>
        <v>8.6820294338691717</v>
      </c>
    </row>
    <row r="301" spans="1:20">
      <c r="A301" s="20" t="s">
        <v>97</v>
      </c>
      <c r="B301" s="21">
        <v>45689</v>
      </c>
      <c r="C301" s="20" t="s">
        <v>28</v>
      </c>
      <c r="D301" s="20" t="s">
        <v>19</v>
      </c>
      <c r="E301" s="22">
        <v>55477.61</v>
      </c>
      <c r="F301" s="22">
        <v>5903</v>
      </c>
      <c r="G301" s="23">
        <v>0.10199999999999999</v>
      </c>
      <c r="H301" s="22">
        <v>14</v>
      </c>
      <c r="I301" s="22">
        <v>96.2</v>
      </c>
      <c r="J301" s="29">
        <v>1.41</v>
      </c>
      <c r="K301" s="22">
        <v>0</v>
      </c>
      <c r="L301" s="22">
        <v>0</v>
      </c>
      <c r="M301" s="22">
        <v>3.3</v>
      </c>
      <c r="N301" s="22">
        <v>0</v>
      </c>
      <c r="O301" s="22">
        <v>763162.45</v>
      </c>
      <c r="P301" s="22">
        <v>162524.04999999999</v>
      </c>
      <c r="Q301" s="22">
        <v>0</v>
      </c>
      <c r="R301" s="29">
        <f t="shared" si="12"/>
        <v>10.923734794913981</v>
      </c>
      <c r="S301" s="29">
        <f t="shared" si="13"/>
        <v>13.545226197172065</v>
      </c>
      <c r="T301" s="29">
        <f t="shared" si="14"/>
        <v>8.6832159752406888</v>
      </c>
    </row>
    <row r="302" spans="1:20">
      <c r="A302" s="16" t="s">
        <v>97</v>
      </c>
      <c r="B302" s="17">
        <v>45717</v>
      </c>
      <c r="C302" s="16" t="s">
        <v>28</v>
      </c>
      <c r="D302" s="16" t="s">
        <v>19</v>
      </c>
      <c r="E302" s="18">
        <v>46174.7</v>
      </c>
      <c r="F302" s="18">
        <v>4898</v>
      </c>
      <c r="G302" s="19">
        <v>0.114</v>
      </c>
      <c r="H302" s="18">
        <v>11</v>
      </c>
      <c r="I302" s="18">
        <v>91.7</v>
      </c>
      <c r="J302" s="28">
        <v>3.75</v>
      </c>
      <c r="K302" s="18">
        <v>0</v>
      </c>
      <c r="L302" s="18">
        <v>0</v>
      </c>
      <c r="M302" s="18">
        <v>3.1</v>
      </c>
      <c r="N302" s="18">
        <v>0</v>
      </c>
      <c r="O302" s="18">
        <v>599017.32999999996</v>
      </c>
      <c r="P302" s="18">
        <v>134009.92000000001</v>
      </c>
      <c r="Q302" s="18">
        <v>0</v>
      </c>
      <c r="R302" s="28">
        <f t="shared" si="12"/>
        <v>10.740187308024137</v>
      </c>
      <c r="S302" s="28">
        <f t="shared" si="13"/>
        <v>13.303045808231664</v>
      </c>
      <c r="T302" s="28">
        <f t="shared" si="14"/>
        <v>8.4965822375121132</v>
      </c>
    </row>
    <row r="303" spans="1:20">
      <c r="A303" s="20" t="s">
        <v>97</v>
      </c>
      <c r="B303" s="21">
        <v>45748</v>
      </c>
      <c r="C303" s="20" t="s">
        <v>28</v>
      </c>
      <c r="D303" s="20" t="s">
        <v>19</v>
      </c>
      <c r="E303" s="22">
        <v>24362.98</v>
      </c>
      <c r="F303" s="22">
        <v>1462</v>
      </c>
      <c r="G303" s="23">
        <v>0.11700000000000001</v>
      </c>
      <c r="H303" s="22">
        <v>6</v>
      </c>
      <c r="I303" s="22">
        <v>89.3</v>
      </c>
      <c r="J303" s="29">
        <v>15.06</v>
      </c>
      <c r="K303" s="22">
        <v>0</v>
      </c>
      <c r="L303" s="22">
        <v>0</v>
      </c>
      <c r="M303" s="22">
        <v>3.2</v>
      </c>
      <c r="N303" s="22">
        <v>0</v>
      </c>
      <c r="O303" s="22">
        <v>401582.58</v>
      </c>
      <c r="P303" s="22">
        <v>68454.929999999993</v>
      </c>
      <c r="Q303" s="22">
        <v>0</v>
      </c>
      <c r="R303" s="29">
        <f t="shared" si="12"/>
        <v>10.100820046033219</v>
      </c>
      <c r="S303" s="29">
        <f t="shared" si="13"/>
        <v>12.903168469924845</v>
      </c>
      <c r="T303" s="29">
        <f t="shared" si="14"/>
        <v>7.2875606403097235</v>
      </c>
    </row>
    <row r="304" spans="1:20">
      <c r="A304" s="16" t="s">
        <v>98</v>
      </c>
      <c r="B304" s="17">
        <v>45658</v>
      </c>
      <c r="C304" s="16" t="s">
        <v>21</v>
      </c>
      <c r="D304" s="16" t="s">
        <v>29</v>
      </c>
      <c r="E304" s="18">
        <v>40647.67</v>
      </c>
      <c r="F304" s="18">
        <v>8252</v>
      </c>
      <c r="G304" s="19">
        <v>0.14099999999999999</v>
      </c>
      <c r="H304" s="18">
        <v>22</v>
      </c>
      <c r="I304" s="18">
        <v>88.2</v>
      </c>
      <c r="J304" s="28">
        <v>5.07</v>
      </c>
      <c r="K304" s="18">
        <v>0</v>
      </c>
      <c r="L304" s="18">
        <v>1</v>
      </c>
      <c r="M304" s="18">
        <v>4.0999999999999996</v>
      </c>
      <c r="N304" s="18">
        <v>0</v>
      </c>
      <c r="O304" s="18">
        <v>703812.99</v>
      </c>
      <c r="P304" s="18">
        <v>133577.98000000001</v>
      </c>
      <c r="Q304" s="18">
        <v>0</v>
      </c>
      <c r="R304" s="28">
        <f t="shared" si="12"/>
        <v>10.612696794759998</v>
      </c>
      <c r="S304" s="28">
        <f t="shared" si="13"/>
        <v>13.464267960647291</v>
      </c>
      <c r="T304" s="28">
        <f t="shared" si="14"/>
        <v>9.0182108741911424</v>
      </c>
    </row>
    <row r="305" spans="1:20">
      <c r="A305" s="20" t="s">
        <v>98</v>
      </c>
      <c r="B305" s="21">
        <v>45689</v>
      </c>
      <c r="C305" s="20" t="s">
        <v>21</v>
      </c>
      <c r="D305" s="20" t="s">
        <v>29</v>
      </c>
      <c r="E305" s="22">
        <v>63986.98</v>
      </c>
      <c r="F305" s="22">
        <v>7989</v>
      </c>
      <c r="G305" s="23">
        <v>7.3999999999999996E-2</v>
      </c>
      <c r="H305" s="22">
        <v>20</v>
      </c>
      <c r="I305" s="22">
        <v>83.3</v>
      </c>
      <c r="J305" s="29">
        <v>3.6</v>
      </c>
      <c r="K305" s="22">
        <v>0</v>
      </c>
      <c r="L305" s="22">
        <v>0</v>
      </c>
      <c r="M305" s="22">
        <v>3.7</v>
      </c>
      <c r="N305" s="22">
        <v>0</v>
      </c>
      <c r="O305" s="22">
        <v>724346.73</v>
      </c>
      <c r="P305" s="22">
        <v>155013.91</v>
      </c>
      <c r="Q305" s="22">
        <v>0</v>
      </c>
      <c r="R305" s="29">
        <f t="shared" si="12"/>
        <v>11.066434904145593</v>
      </c>
      <c r="S305" s="29">
        <f t="shared" si="13"/>
        <v>13.493025465567394</v>
      </c>
      <c r="T305" s="29">
        <f t="shared" si="14"/>
        <v>8.9858208744820427</v>
      </c>
    </row>
    <row r="306" spans="1:20">
      <c r="A306" s="16" t="s">
        <v>98</v>
      </c>
      <c r="B306" s="17">
        <v>45717</v>
      </c>
      <c r="C306" s="16" t="s">
        <v>21</v>
      </c>
      <c r="D306" s="16" t="s">
        <v>29</v>
      </c>
      <c r="E306" s="18">
        <v>52843.75</v>
      </c>
      <c r="F306" s="18">
        <v>8268</v>
      </c>
      <c r="G306" s="19">
        <v>0.13800000000000001</v>
      </c>
      <c r="H306" s="18">
        <v>19</v>
      </c>
      <c r="I306" s="18">
        <v>87.3</v>
      </c>
      <c r="J306" s="28">
        <v>4.3899999999999997</v>
      </c>
      <c r="K306" s="18">
        <v>0</v>
      </c>
      <c r="L306" s="18">
        <v>1</v>
      </c>
      <c r="M306" s="18">
        <v>4.7</v>
      </c>
      <c r="N306" s="18">
        <v>0</v>
      </c>
      <c r="O306" s="18">
        <v>730890.01</v>
      </c>
      <c r="P306" s="18">
        <v>105502.56</v>
      </c>
      <c r="Q306" s="18">
        <v>0</v>
      </c>
      <c r="R306" s="28">
        <f t="shared" si="12"/>
        <v>10.875094725080992</v>
      </c>
      <c r="S306" s="28">
        <f t="shared" si="13"/>
        <v>13.502018262294625</v>
      </c>
      <c r="T306" s="28">
        <f t="shared" si="14"/>
        <v>9.0201479208016586</v>
      </c>
    </row>
    <row r="307" spans="1:20">
      <c r="A307" s="20" t="s">
        <v>98</v>
      </c>
      <c r="B307" s="21">
        <v>45748</v>
      </c>
      <c r="C307" s="20" t="s">
        <v>21</v>
      </c>
      <c r="D307" s="20" t="s">
        <v>29</v>
      </c>
      <c r="E307" s="22">
        <v>31997.25</v>
      </c>
      <c r="F307" s="22">
        <v>8183</v>
      </c>
      <c r="G307" s="23">
        <v>0.19800000000000001</v>
      </c>
      <c r="H307" s="22">
        <v>18</v>
      </c>
      <c r="I307" s="22">
        <v>93</v>
      </c>
      <c r="J307" s="29">
        <v>2.79</v>
      </c>
      <c r="K307" s="22">
        <v>0</v>
      </c>
      <c r="L307" s="22">
        <v>0</v>
      </c>
      <c r="M307" s="22">
        <v>4.2</v>
      </c>
      <c r="N307" s="22">
        <v>0</v>
      </c>
      <c r="O307" s="22">
        <v>780580.95</v>
      </c>
      <c r="P307" s="22">
        <v>138144.46</v>
      </c>
      <c r="Q307" s="22">
        <v>0</v>
      </c>
      <c r="R307" s="29">
        <f t="shared" si="12"/>
        <v>10.373405240589024</v>
      </c>
      <c r="S307" s="29">
        <f t="shared" si="13"/>
        <v>13.56779372912648</v>
      </c>
      <c r="T307" s="29">
        <f t="shared" si="14"/>
        <v>9.0098141105273815</v>
      </c>
    </row>
    <row r="308" spans="1:20">
      <c r="A308" s="16" t="s">
        <v>99</v>
      </c>
      <c r="B308" s="17">
        <v>45658</v>
      </c>
      <c r="C308" s="16" t="s">
        <v>25</v>
      </c>
      <c r="D308" s="16" t="s">
        <v>17</v>
      </c>
      <c r="E308" s="18">
        <v>54948.02</v>
      </c>
      <c r="F308" s="18">
        <v>6534</v>
      </c>
      <c r="G308" s="19">
        <v>0.183</v>
      </c>
      <c r="H308" s="18">
        <v>14</v>
      </c>
      <c r="I308" s="18">
        <v>94.5</v>
      </c>
      <c r="J308" s="28">
        <v>1.56</v>
      </c>
      <c r="K308" s="18">
        <v>0</v>
      </c>
      <c r="L308" s="18">
        <v>0</v>
      </c>
      <c r="M308" s="18">
        <v>4</v>
      </c>
      <c r="N308" s="18">
        <v>0</v>
      </c>
      <c r="O308" s="18">
        <v>727957.48</v>
      </c>
      <c r="P308" s="18">
        <v>74805.23</v>
      </c>
      <c r="Q308" s="18">
        <v>0</v>
      </c>
      <c r="R308" s="28">
        <f t="shared" si="12"/>
        <v>10.914142926425519</v>
      </c>
      <c r="S308" s="28">
        <f t="shared" si="13"/>
        <v>13.497997918879685</v>
      </c>
      <c r="T308" s="28">
        <f t="shared" si="14"/>
        <v>8.7847745921610159</v>
      </c>
    </row>
    <row r="309" spans="1:20">
      <c r="A309" s="20" t="s">
        <v>99</v>
      </c>
      <c r="B309" s="21">
        <v>45689</v>
      </c>
      <c r="C309" s="20" t="s">
        <v>25</v>
      </c>
      <c r="D309" s="20" t="s">
        <v>17</v>
      </c>
      <c r="E309" s="22">
        <v>46146.239999999998</v>
      </c>
      <c r="F309" s="22">
        <v>5804</v>
      </c>
      <c r="G309" s="23">
        <v>4.7E-2</v>
      </c>
      <c r="H309" s="22">
        <v>16</v>
      </c>
      <c r="I309" s="22">
        <v>86.9</v>
      </c>
      <c r="J309" s="29">
        <v>15.82</v>
      </c>
      <c r="K309" s="22">
        <v>0</v>
      </c>
      <c r="L309" s="22">
        <v>0</v>
      </c>
      <c r="M309" s="22">
        <v>3.8</v>
      </c>
      <c r="N309" s="22">
        <v>0</v>
      </c>
      <c r="O309" s="22">
        <v>538376</v>
      </c>
      <c r="P309" s="22">
        <v>87605.62</v>
      </c>
      <c r="Q309" s="22">
        <v>0</v>
      </c>
      <c r="R309" s="29">
        <f t="shared" si="12"/>
        <v>10.739570763155735</v>
      </c>
      <c r="S309" s="29">
        <f t="shared" si="13"/>
        <v>13.196312479796061</v>
      </c>
      <c r="T309" s="29">
        <f t="shared" si="14"/>
        <v>8.6663026140040778</v>
      </c>
    </row>
    <row r="310" spans="1:20">
      <c r="A310" s="16" t="s">
        <v>99</v>
      </c>
      <c r="B310" s="17">
        <v>45717</v>
      </c>
      <c r="C310" s="16" t="s">
        <v>25</v>
      </c>
      <c r="D310" s="16" t="s">
        <v>17</v>
      </c>
      <c r="E310" s="18">
        <v>22387.26</v>
      </c>
      <c r="F310" s="18">
        <v>6301</v>
      </c>
      <c r="G310" s="19">
        <v>0.14599999999999999</v>
      </c>
      <c r="H310" s="18">
        <v>14</v>
      </c>
      <c r="I310" s="18">
        <v>85.9</v>
      </c>
      <c r="J310" s="28">
        <v>1.17</v>
      </c>
      <c r="K310" s="18">
        <v>0</v>
      </c>
      <c r="L310" s="18">
        <v>1</v>
      </c>
      <c r="M310" s="18">
        <v>3.7</v>
      </c>
      <c r="N310" s="18">
        <v>0</v>
      </c>
      <c r="O310" s="18">
        <v>665342.49</v>
      </c>
      <c r="P310" s="18">
        <v>93441.81</v>
      </c>
      <c r="Q310" s="18">
        <v>0</v>
      </c>
      <c r="R310" s="28">
        <f t="shared" si="12"/>
        <v>10.016247326043498</v>
      </c>
      <c r="S310" s="28">
        <f t="shared" si="13"/>
        <v>13.408057209615784</v>
      </c>
      <c r="T310" s="28">
        <f t="shared" si="14"/>
        <v>8.7484636299420551</v>
      </c>
    </row>
    <row r="311" spans="1:20">
      <c r="A311" s="20" t="s">
        <v>99</v>
      </c>
      <c r="B311" s="21">
        <v>45748</v>
      </c>
      <c r="C311" s="20" t="s">
        <v>25</v>
      </c>
      <c r="D311" s="20" t="s">
        <v>17</v>
      </c>
      <c r="E311" s="22">
        <v>60684.05</v>
      </c>
      <c r="F311" s="22">
        <v>6399</v>
      </c>
      <c r="G311" s="23">
        <v>7.4999999999999997E-2</v>
      </c>
      <c r="H311" s="22">
        <v>16</v>
      </c>
      <c r="I311" s="22">
        <v>99</v>
      </c>
      <c r="J311" s="29">
        <v>3.82</v>
      </c>
      <c r="K311" s="22">
        <v>0</v>
      </c>
      <c r="L311" s="22">
        <v>0</v>
      </c>
      <c r="M311" s="22">
        <v>3.5</v>
      </c>
      <c r="N311" s="22">
        <v>0</v>
      </c>
      <c r="O311" s="22">
        <v>651164.18000000005</v>
      </c>
      <c r="P311" s="22">
        <v>109466.5</v>
      </c>
      <c r="Q311" s="22">
        <v>0</v>
      </c>
      <c r="R311" s="29">
        <f t="shared" si="12"/>
        <v>11.013436174808056</v>
      </c>
      <c r="S311" s="29">
        <f t="shared" si="13"/>
        <v>13.386517086015068</v>
      </c>
      <c r="T311" s="29">
        <f t="shared" si="14"/>
        <v>8.7638970071394606</v>
      </c>
    </row>
    <row r="312" spans="1:20">
      <c r="A312" s="16" t="s">
        <v>100</v>
      </c>
      <c r="B312" s="17">
        <v>45658</v>
      </c>
      <c r="C312" s="16" t="s">
        <v>25</v>
      </c>
      <c r="D312" s="16" t="s">
        <v>19</v>
      </c>
      <c r="E312" s="18">
        <v>48465.599999999999</v>
      </c>
      <c r="F312" s="18">
        <v>5759</v>
      </c>
      <c r="G312" s="19">
        <v>0.154</v>
      </c>
      <c r="H312" s="18">
        <v>13</v>
      </c>
      <c r="I312" s="18">
        <v>87.5</v>
      </c>
      <c r="J312" s="28">
        <v>4.1399999999999997</v>
      </c>
      <c r="K312" s="18">
        <v>0</v>
      </c>
      <c r="L312" s="18">
        <v>0</v>
      </c>
      <c r="M312" s="18">
        <v>4</v>
      </c>
      <c r="N312" s="18">
        <v>0</v>
      </c>
      <c r="O312" s="18">
        <v>628538.30000000005</v>
      </c>
      <c r="P312" s="18">
        <v>112509.15</v>
      </c>
      <c r="Q312" s="18">
        <v>0</v>
      </c>
      <c r="R312" s="28">
        <f t="shared" si="12"/>
        <v>10.788609546918167</v>
      </c>
      <c r="S312" s="28">
        <f t="shared" si="13"/>
        <v>13.351152243898788</v>
      </c>
      <c r="T312" s="28">
        <f t="shared" si="14"/>
        <v>8.658519127506672</v>
      </c>
    </row>
    <row r="313" spans="1:20">
      <c r="A313" s="20" t="s">
        <v>100</v>
      </c>
      <c r="B313" s="21">
        <v>45689</v>
      </c>
      <c r="C313" s="20" t="s">
        <v>25</v>
      </c>
      <c r="D313" s="20" t="s">
        <v>19</v>
      </c>
      <c r="E313" s="22">
        <v>23702.38</v>
      </c>
      <c r="F313" s="22">
        <v>5285</v>
      </c>
      <c r="G313" s="23">
        <v>0.16700000000000001</v>
      </c>
      <c r="H313" s="22">
        <v>14</v>
      </c>
      <c r="I313" s="22">
        <v>79.7</v>
      </c>
      <c r="J313" s="29">
        <v>1.1000000000000001</v>
      </c>
      <c r="K313" s="22">
        <v>0</v>
      </c>
      <c r="L313" s="22">
        <v>0</v>
      </c>
      <c r="M313" s="22">
        <v>4.3</v>
      </c>
      <c r="N313" s="22">
        <v>0</v>
      </c>
      <c r="O313" s="22">
        <v>536524.84</v>
      </c>
      <c r="P313" s="22">
        <v>92752.94</v>
      </c>
      <c r="Q313" s="22">
        <v>0</v>
      </c>
      <c r="R313" s="29">
        <f t="shared" si="12"/>
        <v>10.073330744022206</v>
      </c>
      <c r="S313" s="29">
        <f t="shared" si="13"/>
        <v>13.192868140074271</v>
      </c>
      <c r="T313" s="29">
        <f t="shared" si="14"/>
        <v>8.5726278983043382</v>
      </c>
    </row>
    <row r="314" spans="1:20">
      <c r="A314" s="16" t="s">
        <v>100</v>
      </c>
      <c r="B314" s="17">
        <v>45717</v>
      </c>
      <c r="C314" s="16" t="s">
        <v>25</v>
      </c>
      <c r="D314" s="16" t="s">
        <v>19</v>
      </c>
      <c r="E314" s="18">
        <v>54322.94</v>
      </c>
      <c r="F314" s="18">
        <v>5434</v>
      </c>
      <c r="G314" s="19">
        <v>0.2</v>
      </c>
      <c r="H314" s="18">
        <v>13</v>
      </c>
      <c r="I314" s="18">
        <v>85.7</v>
      </c>
      <c r="J314" s="28">
        <v>10.6</v>
      </c>
      <c r="K314" s="18">
        <v>0</v>
      </c>
      <c r="L314" s="18">
        <v>0</v>
      </c>
      <c r="M314" s="18">
        <v>4.2</v>
      </c>
      <c r="N314" s="18">
        <v>0</v>
      </c>
      <c r="O314" s="18">
        <v>621677.30000000005</v>
      </c>
      <c r="P314" s="18">
        <v>105192.52</v>
      </c>
      <c r="Q314" s="18">
        <v>0</v>
      </c>
      <c r="R314" s="28">
        <f t="shared" si="12"/>
        <v>10.902701884479283</v>
      </c>
      <c r="S314" s="28">
        <f t="shared" si="13"/>
        <v>13.340176426803303</v>
      </c>
      <c r="T314" s="28">
        <f t="shared" si="14"/>
        <v>8.6004307899862926</v>
      </c>
    </row>
    <row r="315" spans="1:20">
      <c r="A315" s="20" t="s">
        <v>100</v>
      </c>
      <c r="B315" s="21">
        <v>45748</v>
      </c>
      <c r="C315" s="20" t="s">
        <v>25</v>
      </c>
      <c r="D315" s="20" t="s">
        <v>19</v>
      </c>
      <c r="E315" s="22">
        <v>86026.58</v>
      </c>
      <c r="F315" s="22">
        <v>7479</v>
      </c>
      <c r="G315" s="23">
        <v>0.14199999999999999</v>
      </c>
      <c r="H315" s="22">
        <v>20</v>
      </c>
      <c r="I315" s="22">
        <v>89</v>
      </c>
      <c r="J315" s="29">
        <v>0.9</v>
      </c>
      <c r="K315" s="22">
        <v>0</v>
      </c>
      <c r="L315" s="22">
        <v>0</v>
      </c>
      <c r="M315" s="22">
        <v>3.9</v>
      </c>
      <c r="N315" s="31">
        <v>1</v>
      </c>
      <c r="O315" s="22">
        <v>771129.07</v>
      </c>
      <c r="P315" s="22">
        <v>116851.13</v>
      </c>
      <c r="Q315" s="22">
        <v>0</v>
      </c>
      <c r="R315" s="29">
        <f t="shared" si="12"/>
        <v>11.362411597250865</v>
      </c>
      <c r="S315" s="29">
        <f t="shared" si="13"/>
        <v>13.555611044500928</v>
      </c>
      <c r="T315" s="29">
        <f t="shared" si="14"/>
        <v>8.9198543721916668</v>
      </c>
    </row>
    <row r="316" spans="1:20">
      <c r="A316" s="16" t="s">
        <v>101</v>
      </c>
      <c r="B316" s="17">
        <v>45658</v>
      </c>
      <c r="C316" s="16" t="s">
        <v>21</v>
      </c>
      <c r="D316" s="16" t="s">
        <v>17</v>
      </c>
      <c r="E316" s="18">
        <v>78967.520000000004</v>
      </c>
      <c r="F316" s="18">
        <v>6164</v>
      </c>
      <c r="G316" s="19">
        <v>2.1000000000000001E-2</v>
      </c>
      <c r="H316" s="18">
        <v>16</v>
      </c>
      <c r="I316" s="18">
        <v>85.5</v>
      </c>
      <c r="J316" s="28">
        <v>0.2</v>
      </c>
      <c r="K316" s="18">
        <v>0</v>
      </c>
      <c r="L316" s="18">
        <v>0</v>
      </c>
      <c r="M316" s="18">
        <v>3.4</v>
      </c>
      <c r="N316" s="18">
        <v>0</v>
      </c>
      <c r="O316" s="18">
        <v>702052.47</v>
      </c>
      <c r="P316" s="18">
        <v>121732.51</v>
      </c>
      <c r="Q316" s="18">
        <v>0</v>
      </c>
      <c r="R316" s="28">
        <f t="shared" si="12"/>
        <v>11.276791907667741</v>
      </c>
      <c r="S316" s="28">
        <f t="shared" si="13"/>
        <v>13.461763423804529</v>
      </c>
      <c r="T316" s="28">
        <f t="shared" si="14"/>
        <v>8.7264811964400071</v>
      </c>
    </row>
    <row r="317" spans="1:20">
      <c r="A317" s="20" t="s">
        <v>101</v>
      </c>
      <c r="B317" s="21">
        <v>45689</v>
      </c>
      <c r="C317" s="20" t="s">
        <v>21</v>
      </c>
      <c r="D317" s="20" t="s">
        <v>17</v>
      </c>
      <c r="E317" s="22">
        <v>46767.99</v>
      </c>
      <c r="F317" s="22">
        <v>7973</v>
      </c>
      <c r="G317" s="23">
        <v>0.183</v>
      </c>
      <c r="H317" s="22">
        <v>18</v>
      </c>
      <c r="I317" s="22">
        <v>94.8</v>
      </c>
      <c r="J317" s="29">
        <v>4.67</v>
      </c>
      <c r="K317" s="22">
        <v>0</v>
      </c>
      <c r="L317" s="22">
        <v>0</v>
      </c>
      <c r="M317" s="22">
        <v>4</v>
      </c>
      <c r="N317" s="31">
        <v>1</v>
      </c>
      <c r="O317" s="22">
        <v>688368.46</v>
      </c>
      <c r="P317" s="22">
        <v>93588.42</v>
      </c>
      <c r="Q317" s="22">
        <v>0</v>
      </c>
      <c r="R317" s="29">
        <f t="shared" si="12"/>
        <v>10.752954273529587</v>
      </c>
      <c r="S317" s="29">
        <f t="shared" si="13"/>
        <v>13.442079525884097</v>
      </c>
      <c r="T317" s="29">
        <f t="shared" si="14"/>
        <v>8.9838161125024953</v>
      </c>
    </row>
    <row r="318" spans="1:20">
      <c r="A318" s="16" t="s">
        <v>101</v>
      </c>
      <c r="B318" s="17">
        <v>45717</v>
      </c>
      <c r="C318" s="16" t="s">
        <v>21</v>
      </c>
      <c r="D318" s="16" t="s">
        <v>17</v>
      </c>
      <c r="E318" s="18">
        <v>62507.16</v>
      </c>
      <c r="F318" s="18">
        <v>6000</v>
      </c>
      <c r="G318" s="19">
        <v>9.0999999999999998E-2</v>
      </c>
      <c r="H318" s="18">
        <v>14</v>
      </c>
      <c r="I318" s="18">
        <v>98.2</v>
      </c>
      <c r="J318" s="28">
        <v>4.38</v>
      </c>
      <c r="K318" s="18">
        <v>0</v>
      </c>
      <c r="L318" s="18">
        <v>1</v>
      </c>
      <c r="M318" s="18">
        <v>3.9</v>
      </c>
      <c r="N318" s="18">
        <v>0</v>
      </c>
      <c r="O318" s="18">
        <v>712375.77</v>
      </c>
      <c r="P318" s="18">
        <v>104171.53</v>
      </c>
      <c r="Q318" s="18">
        <v>0</v>
      </c>
      <c r="R318" s="28">
        <f t="shared" si="12"/>
        <v>11.043036389162998</v>
      </c>
      <c r="S318" s="28">
        <f t="shared" si="13"/>
        <v>13.476360818028102</v>
      </c>
      <c r="T318" s="28">
        <f t="shared" si="14"/>
        <v>8.6995147482101913</v>
      </c>
    </row>
    <row r="319" spans="1:20">
      <c r="A319" s="20" t="s">
        <v>101</v>
      </c>
      <c r="B319" s="21">
        <v>45748</v>
      </c>
      <c r="C319" s="20" t="s">
        <v>21</v>
      </c>
      <c r="D319" s="20" t="s">
        <v>17</v>
      </c>
      <c r="E319" s="22">
        <v>66456.28</v>
      </c>
      <c r="F319" s="22">
        <v>9967</v>
      </c>
      <c r="G319" s="23">
        <v>0.108</v>
      </c>
      <c r="H319" s="22">
        <v>20</v>
      </c>
      <c r="I319" s="22">
        <v>94.7</v>
      </c>
      <c r="J319" s="29">
        <v>4.4800000000000004</v>
      </c>
      <c r="K319" s="22">
        <v>0</v>
      </c>
      <c r="L319" s="22">
        <v>0</v>
      </c>
      <c r="M319" s="22">
        <v>4.2</v>
      </c>
      <c r="N319" s="22">
        <v>0</v>
      </c>
      <c r="O319" s="22">
        <v>844710.67</v>
      </c>
      <c r="P319" s="22">
        <v>137140.18</v>
      </c>
      <c r="Q319" s="22">
        <v>0</v>
      </c>
      <c r="R319" s="29">
        <f t="shared" si="12"/>
        <v>11.104299566824103</v>
      </c>
      <c r="S319" s="29">
        <f t="shared" si="13"/>
        <v>13.646749445339372</v>
      </c>
      <c r="T319" s="29">
        <f t="shared" si="14"/>
        <v>9.2070349149674566</v>
      </c>
    </row>
    <row r="320" spans="1:20">
      <c r="A320" s="16" t="s">
        <v>102</v>
      </c>
      <c r="B320" s="17">
        <v>45658</v>
      </c>
      <c r="C320" s="16" t="s">
        <v>16</v>
      </c>
      <c r="D320" s="16" t="s">
        <v>17</v>
      </c>
      <c r="E320" s="18">
        <v>76614.320000000007</v>
      </c>
      <c r="F320" s="18">
        <v>5639</v>
      </c>
      <c r="G320" s="19">
        <v>0.17399999999999999</v>
      </c>
      <c r="H320" s="18">
        <v>15</v>
      </c>
      <c r="I320" s="18">
        <v>92.9</v>
      </c>
      <c r="J320" s="28">
        <v>1.02</v>
      </c>
      <c r="K320" s="18">
        <v>0</v>
      </c>
      <c r="L320" s="18">
        <v>1</v>
      </c>
      <c r="M320" s="18">
        <v>4</v>
      </c>
      <c r="N320" s="18">
        <v>0</v>
      </c>
      <c r="O320" s="18">
        <v>620264.19999999995</v>
      </c>
      <c r="P320" s="18">
        <v>91365.64</v>
      </c>
      <c r="Q320" s="18">
        <v>0</v>
      </c>
      <c r="R320" s="28">
        <f t="shared" si="12"/>
        <v>11.246539283426324</v>
      </c>
      <c r="S320" s="28">
        <f t="shared" si="13"/>
        <v>13.337900795286341</v>
      </c>
      <c r="T320" s="28">
        <f t="shared" si="14"/>
        <v>8.6374620238071813</v>
      </c>
    </row>
    <row r="321" spans="1:20">
      <c r="A321" s="20" t="s">
        <v>102</v>
      </c>
      <c r="B321" s="21">
        <v>45689</v>
      </c>
      <c r="C321" s="20" t="s">
        <v>16</v>
      </c>
      <c r="D321" s="20" t="s">
        <v>17</v>
      </c>
      <c r="E321" s="22">
        <v>24088.06</v>
      </c>
      <c r="F321" s="22">
        <v>3466</v>
      </c>
      <c r="G321" s="23">
        <v>0</v>
      </c>
      <c r="H321" s="22">
        <v>11</v>
      </c>
      <c r="I321" s="22">
        <v>88</v>
      </c>
      <c r="J321" s="29">
        <v>0.2</v>
      </c>
      <c r="K321" s="22">
        <v>0</v>
      </c>
      <c r="L321" s="22">
        <v>0</v>
      </c>
      <c r="M321" s="22">
        <v>3.8</v>
      </c>
      <c r="N321" s="22">
        <v>0</v>
      </c>
      <c r="O321" s="22">
        <v>536845.42000000004</v>
      </c>
      <c r="P321" s="22">
        <v>107473.75</v>
      </c>
      <c r="Q321" s="22">
        <v>0</v>
      </c>
      <c r="R321" s="29">
        <f t="shared" si="12"/>
        <v>10.08947156102529</v>
      </c>
      <c r="S321" s="29">
        <f t="shared" si="13"/>
        <v>13.193465473578801</v>
      </c>
      <c r="T321" s="29">
        <f t="shared" si="14"/>
        <v>8.1507564702755513</v>
      </c>
    </row>
    <row r="322" spans="1:20">
      <c r="A322" s="16" t="s">
        <v>102</v>
      </c>
      <c r="B322" s="17">
        <v>45717</v>
      </c>
      <c r="C322" s="16" t="s">
        <v>16</v>
      </c>
      <c r="D322" s="16" t="s">
        <v>17</v>
      </c>
      <c r="E322" s="18">
        <v>81902.58</v>
      </c>
      <c r="F322" s="18">
        <v>7775</v>
      </c>
      <c r="G322" s="19">
        <v>0.215</v>
      </c>
      <c r="H322" s="18">
        <v>20</v>
      </c>
      <c r="I322" s="18">
        <v>85.2</v>
      </c>
      <c r="J322" s="28">
        <v>4.8899999999999997</v>
      </c>
      <c r="K322" s="18">
        <v>0</v>
      </c>
      <c r="L322" s="18">
        <v>1</v>
      </c>
      <c r="M322" s="18">
        <v>4.2</v>
      </c>
      <c r="N322" s="18">
        <v>0</v>
      </c>
      <c r="O322" s="18">
        <v>726776.22</v>
      </c>
      <c r="P322" s="18">
        <v>90804.49</v>
      </c>
      <c r="Q322" s="18">
        <v>0</v>
      </c>
      <c r="R322" s="28">
        <f t="shared" si="12"/>
        <v>11.31328577117649</v>
      </c>
      <c r="S322" s="28">
        <f t="shared" si="13"/>
        <v>13.496373896201684</v>
      </c>
      <c r="T322" s="28">
        <f t="shared" si="14"/>
        <v>8.958668737047434</v>
      </c>
    </row>
    <row r="323" spans="1:20">
      <c r="A323" s="20" t="s">
        <v>102</v>
      </c>
      <c r="B323" s="21">
        <v>45748</v>
      </c>
      <c r="C323" s="20" t="s">
        <v>16</v>
      </c>
      <c r="D323" s="20" t="s">
        <v>17</v>
      </c>
      <c r="E323" s="22">
        <v>40553.11</v>
      </c>
      <c r="F323" s="22">
        <v>5317</v>
      </c>
      <c r="G323" s="23">
        <v>0.16500000000000001</v>
      </c>
      <c r="H323" s="22">
        <v>17</v>
      </c>
      <c r="I323" s="22">
        <v>84.3</v>
      </c>
      <c r="J323" s="29">
        <v>11.82</v>
      </c>
      <c r="K323" s="22">
        <v>0</v>
      </c>
      <c r="L323" s="22">
        <v>0</v>
      </c>
      <c r="M323" s="22">
        <v>4.0999999999999996</v>
      </c>
      <c r="N323" s="22">
        <v>0</v>
      </c>
      <c r="O323" s="22">
        <v>559660.84</v>
      </c>
      <c r="P323" s="22">
        <v>71443.61</v>
      </c>
      <c r="Q323" s="22">
        <v>0</v>
      </c>
      <c r="R323" s="29">
        <f t="shared" si="12"/>
        <v>10.610367752040345</v>
      </c>
      <c r="S323" s="29">
        <f t="shared" si="13"/>
        <v>13.23508623637847</v>
      </c>
      <c r="T323" s="29">
        <f t="shared" si="14"/>
        <v>8.5786645135043393</v>
      </c>
    </row>
    <row r="325" spans="1:20">
      <c r="A325" s="32" t="s">
        <v>117</v>
      </c>
      <c r="B325" s="8" t="s">
        <v>118</v>
      </c>
      <c r="C325" s="8"/>
      <c r="D325" s="8"/>
      <c r="E325" s="8"/>
      <c r="F325" s="8"/>
      <c r="G325" s="8"/>
      <c r="H325" s="8"/>
      <c r="I325" s="7" t="s">
        <v>119</v>
      </c>
      <c r="J325" s="7"/>
      <c r="K325" s="7"/>
      <c r="L325" s="7"/>
      <c r="M325" s="7"/>
      <c r="N325" s="7"/>
      <c r="O325" s="7"/>
    </row>
  </sheetData>
  <autoFilter ref="A3:T323"/>
  <mergeCells count="7">
    <mergeCell ref="B325:H325"/>
    <mergeCell ref="I325:O325"/>
    <mergeCell ref="A1:T1"/>
    <mergeCell ref="A2:J2"/>
    <mergeCell ref="M2:N2"/>
    <mergeCell ref="O2:P2"/>
    <mergeCell ref="Q2:T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>
  <dimension ref="A1:M324"/>
  <sheetViews>
    <sheetView workbookViewId="0">
      <pane ySplit="2" topLeftCell="A3" activePane="bottomLeft" state="frozen"/>
      <selection pane="bottomLeft" activeCell="A3" sqref="A3"/>
    </sheetView>
  </sheetViews>
  <sheetFormatPr defaultColWidth="8.6640625" defaultRowHeight="14.4"/>
  <cols>
    <col min="1" max="1" width="11" customWidth="1"/>
    <col min="2" max="2" width="10" customWidth="1"/>
    <col min="3" max="3" width="13" customWidth="1"/>
    <col min="4" max="11" width="14" customWidth="1"/>
  </cols>
  <sheetData>
    <row r="1" spans="1:13" ht="21.75" customHeight="1">
      <c r="A1" s="14" t="s">
        <v>120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ht="39.75" customHeight="1">
      <c r="A2" s="27" t="s">
        <v>1</v>
      </c>
      <c r="B2" s="27" t="s">
        <v>3</v>
      </c>
      <c r="C2" s="27" t="s">
        <v>4</v>
      </c>
      <c r="D2" s="33" t="s">
        <v>121</v>
      </c>
      <c r="E2" s="33" t="s">
        <v>122</v>
      </c>
      <c r="F2" s="33" t="s">
        <v>123</v>
      </c>
      <c r="G2" s="34" t="s">
        <v>124</v>
      </c>
      <c r="H2" s="34" t="s">
        <v>125</v>
      </c>
      <c r="I2" s="34" t="s">
        <v>126</v>
      </c>
      <c r="J2" s="35" t="s">
        <v>11</v>
      </c>
      <c r="K2" s="27" t="s">
        <v>13</v>
      </c>
    </row>
    <row r="3" spans="1:13">
      <c r="A3" s="36" t="s">
        <v>15</v>
      </c>
      <c r="B3" s="36" t="s">
        <v>16</v>
      </c>
      <c r="C3" s="36" t="s">
        <v>17</v>
      </c>
      <c r="D3" s="37">
        <v>1</v>
      </c>
      <c r="E3" s="36">
        <v>0</v>
      </c>
      <c r="F3" s="36">
        <v>0</v>
      </c>
      <c r="G3" s="36">
        <v>0</v>
      </c>
      <c r="H3" s="36">
        <v>0</v>
      </c>
      <c r="I3" s="36">
        <v>0</v>
      </c>
      <c r="J3" s="36">
        <v>1</v>
      </c>
      <c r="K3" s="38">
        <v>658832.62</v>
      </c>
    </row>
    <row r="4" spans="1:13">
      <c r="A4" s="39" t="s">
        <v>15</v>
      </c>
      <c r="B4" s="39" t="s">
        <v>16</v>
      </c>
      <c r="C4" s="39" t="s">
        <v>17</v>
      </c>
      <c r="D4" s="37">
        <v>1</v>
      </c>
      <c r="E4" s="39">
        <v>0</v>
      </c>
      <c r="F4" s="39">
        <v>0</v>
      </c>
      <c r="G4" s="39">
        <v>0</v>
      </c>
      <c r="H4" s="39">
        <v>0</v>
      </c>
      <c r="I4" s="39">
        <v>0</v>
      </c>
      <c r="J4" s="39">
        <v>0</v>
      </c>
      <c r="K4" s="40">
        <v>634436</v>
      </c>
    </row>
    <row r="5" spans="1:13">
      <c r="A5" s="36" t="s">
        <v>15</v>
      </c>
      <c r="B5" s="36" t="s">
        <v>16</v>
      </c>
      <c r="C5" s="36" t="s">
        <v>17</v>
      </c>
      <c r="D5" s="37">
        <v>1</v>
      </c>
      <c r="E5" s="36">
        <v>0</v>
      </c>
      <c r="F5" s="36">
        <v>0</v>
      </c>
      <c r="G5" s="36">
        <v>0</v>
      </c>
      <c r="H5" s="36">
        <v>0</v>
      </c>
      <c r="I5" s="36">
        <v>0</v>
      </c>
      <c r="J5" s="36">
        <v>0</v>
      </c>
      <c r="K5" s="38">
        <v>678722.06</v>
      </c>
    </row>
    <row r="6" spans="1:13">
      <c r="A6" s="39" t="s">
        <v>15</v>
      </c>
      <c r="B6" s="39" t="s">
        <v>16</v>
      </c>
      <c r="C6" s="39" t="s">
        <v>17</v>
      </c>
      <c r="D6" s="37">
        <v>1</v>
      </c>
      <c r="E6" s="39">
        <v>0</v>
      </c>
      <c r="F6" s="39">
        <v>0</v>
      </c>
      <c r="G6" s="39">
        <v>0</v>
      </c>
      <c r="H6" s="39">
        <v>0</v>
      </c>
      <c r="I6" s="39">
        <v>0</v>
      </c>
      <c r="J6" s="39">
        <v>0</v>
      </c>
      <c r="K6" s="40">
        <v>658920.30000000005</v>
      </c>
    </row>
    <row r="7" spans="1:13">
      <c r="A7" s="36" t="s">
        <v>18</v>
      </c>
      <c r="B7" s="36" t="s">
        <v>16</v>
      </c>
      <c r="C7" s="36" t="s">
        <v>19</v>
      </c>
      <c r="D7" s="37">
        <v>1</v>
      </c>
      <c r="E7" s="36">
        <v>0</v>
      </c>
      <c r="F7" s="36">
        <v>0</v>
      </c>
      <c r="G7" s="36">
        <v>0</v>
      </c>
      <c r="H7" s="41">
        <v>1</v>
      </c>
      <c r="I7" s="36">
        <v>0</v>
      </c>
      <c r="J7" s="36">
        <v>1</v>
      </c>
      <c r="K7" s="38">
        <v>741341.44</v>
      </c>
    </row>
    <row r="8" spans="1:13">
      <c r="A8" s="39" t="s">
        <v>18</v>
      </c>
      <c r="B8" s="39" t="s">
        <v>16</v>
      </c>
      <c r="C8" s="39" t="s">
        <v>19</v>
      </c>
      <c r="D8" s="37">
        <v>1</v>
      </c>
      <c r="E8" s="39">
        <v>0</v>
      </c>
      <c r="F8" s="39">
        <v>0</v>
      </c>
      <c r="G8" s="39">
        <v>0</v>
      </c>
      <c r="H8" s="41">
        <v>1</v>
      </c>
      <c r="I8" s="39">
        <v>0</v>
      </c>
      <c r="J8" s="39">
        <v>0</v>
      </c>
      <c r="K8" s="40">
        <v>761835.34</v>
      </c>
    </row>
    <row r="9" spans="1:13">
      <c r="A9" s="36" t="s">
        <v>18</v>
      </c>
      <c r="B9" s="36" t="s">
        <v>16</v>
      </c>
      <c r="C9" s="36" t="s">
        <v>19</v>
      </c>
      <c r="D9" s="37">
        <v>1</v>
      </c>
      <c r="E9" s="36">
        <v>0</v>
      </c>
      <c r="F9" s="36">
        <v>0</v>
      </c>
      <c r="G9" s="36">
        <v>0</v>
      </c>
      <c r="H9" s="41">
        <v>1</v>
      </c>
      <c r="I9" s="36">
        <v>0</v>
      </c>
      <c r="J9" s="36">
        <v>1</v>
      </c>
      <c r="K9" s="38">
        <v>806615.54</v>
      </c>
    </row>
    <row r="10" spans="1:13">
      <c r="A10" s="39" t="s">
        <v>18</v>
      </c>
      <c r="B10" s="39" t="s">
        <v>16</v>
      </c>
      <c r="C10" s="39" t="s">
        <v>19</v>
      </c>
      <c r="D10" s="37">
        <v>1</v>
      </c>
      <c r="E10" s="39">
        <v>0</v>
      </c>
      <c r="F10" s="39">
        <v>0</v>
      </c>
      <c r="G10" s="39">
        <v>0</v>
      </c>
      <c r="H10" s="41">
        <v>1</v>
      </c>
      <c r="I10" s="39">
        <v>0</v>
      </c>
      <c r="J10" s="39">
        <v>0</v>
      </c>
      <c r="K10" s="40">
        <v>850164.26</v>
      </c>
    </row>
    <row r="11" spans="1:13">
      <c r="A11" s="36" t="s">
        <v>20</v>
      </c>
      <c r="B11" s="36" t="s">
        <v>21</v>
      </c>
      <c r="C11" s="36" t="s">
        <v>22</v>
      </c>
      <c r="D11" s="36">
        <v>0</v>
      </c>
      <c r="E11" s="37">
        <v>1</v>
      </c>
      <c r="F11" s="36">
        <v>0</v>
      </c>
      <c r="G11" s="41">
        <v>1</v>
      </c>
      <c r="H11" s="36">
        <v>0</v>
      </c>
      <c r="I11" s="36">
        <v>0</v>
      </c>
      <c r="J11" s="36">
        <v>1</v>
      </c>
      <c r="K11" s="38">
        <v>930581.7</v>
      </c>
    </row>
    <row r="12" spans="1:13">
      <c r="A12" s="39" t="s">
        <v>20</v>
      </c>
      <c r="B12" s="39" t="s">
        <v>21</v>
      </c>
      <c r="C12" s="39" t="s">
        <v>22</v>
      </c>
      <c r="D12" s="39">
        <v>0</v>
      </c>
      <c r="E12" s="37">
        <v>1</v>
      </c>
      <c r="F12" s="39">
        <v>0</v>
      </c>
      <c r="G12" s="41">
        <v>1</v>
      </c>
      <c r="H12" s="39">
        <v>0</v>
      </c>
      <c r="I12" s="39">
        <v>0</v>
      </c>
      <c r="J12" s="39">
        <v>0</v>
      </c>
      <c r="K12" s="40">
        <v>779010.94</v>
      </c>
    </row>
    <row r="13" spans="1:13">
      <c r="A13" s="36" t="s">
        <v>20</v>
      </c>
      <c r="B13" s="36" t="s">
        <v>21</v>
      </c>
      <c r="C13" s="36" t="s">
        <v>22</v>
      </c>
      <c r="D13" s="36">
        <v>0</v>
      </c>
      <c r="E13" s="37">
        <v>1</v>
      </c>
      <c r="F13" s="36">
        <v>0</v>
      </c>
      <c r="G13" s="41">
        <v>1</v>
      </c>
      <c r="H13" s="36">
        <v>0</v>
      </c>
      <c r="I13" s="36">
        <v>0</v>
      </c>
      <c r="J13" s="36">
        <v>1</v>
      </c>
      <c r="K13" s="38">
        <v>723060.76</v>
      </c>
    </row>
    <row r="14" spans="1:13">
      <c r="A14" s="39" t="s">
        <v>20</v>
      </c>
      <c r="B14" s="39" t="s">
        <v>21</v>
      </c>
      <c r="C14" s="39" t="s">
        <v>22</v>
      </c>
      <c r="D14" s="39">
        <v>0</v>
      </c>
      <c r="E14" s="37">
        <v>1</v>
      </c>
      <c r="F14" s="39">
        <v>0</v>
      </c>
      <c r="G14" s="41">
        <v>1</v>
      </c>
      <c r="H14" s="39">
        <v>0</v>
      </c>
      <c r="I14" s="39">
        <v>0</v>
      </c>
      <c r="J14" s="39">
        <v>0</v>
      </c>
      <c r="K14" s="40">
        <v>910791.94</v>
      </c>
    </row>
    <row r="15" spans="1:13">
      <c r="A15" s="36" t="s">
        <v>23</v>
      </c>
      <c r="B15" s="36" t="s">
        <v>16</v>
      </c>
      <c r="C15" s="36" t="s">
        <v>17</v>
      </c>
      <c r="D15" s="37">
        <v>1</v>
      </c>
      <c r="E15" s="36">
        <v>0</v>
      </c>
      <c r="F15" s="36">
        <v>0</v>
      </c>
      <c r="G15" s="36">
        <v>0</v>
      </c>
      <c r="H15" s="36">
        <v>0</v>
      </c>
      <c r="I15" s="36">
        <v>0</v>
      </c>
      <c r="J15" s="36">
        <v>1</v>
      </c>
      <c r="K15" s="38">
        <v>922168.6</v>
      </c>
    </row>
    <row r="16" spans="1:13">
      <c r="A16" s="39" t="s">
        <v>23</v>
      </c>
      <c r="B16" s="39" t="s">
        <v>16</v>
      </c>
      <c r="C16" s="39" t="s">
        <v>17</v>
      </c>
      <c r="D16" s="37">
        <v>1</v>
      </c>
      <c r="E16" s="39">
        <v>0</v>
      </c>
      <c r="F16" s="39">
        <v>0</v>
      </c>
      <c r="G16" s="39">
        <v>0</v>
      </c>
      <c r="H16" s="39">
        <v>0</v>
      </c>
      <c r="I16" s="39">
        <v>0</v>
      </c>
      <c r="J16" s="39">
        <v>0</v>
      </c>
      <c r="K16" s="40">
        <v>726606.28</v>
      </c>
    </row>
    <row r="17" spans="1:11">
      <c r="A17" s="36" t="s">
        <v>23</v>
      </c>
      <c r="B17" s="36" t="s">
        <v>16</v>
      </c>
      <c r="C17" s="36" t="s">
        <v>17</v>
      </c>
      <c r="D17" s="37">
        <v>1</v>
      </c>
      <c r="E17" s="36">
        <v>0</v>
      </c>
      <c r="F17" s="36">
        <v>0</v>
      </c>
      <c r="G17" s="36">
        <v>0</v>
      </c>
      <c r="H17" s="36">
        <v>0</v>
      </c>
      <c r="I17" s="36">
        <v>0</v>
      </c>
      <c r="J17" s="36">
        <v>0</v>
      </c>
      <c r="K17" s="38">
        <v>746501.09</v>
      </c>
    </row>
    <row r="18" spans="1:11">
      <c r="A18" s="39" t="s">
        <v>23</v>
      </c>
      <c r="B18" s="39" t="s">
        <v>16</v>
      </c>
      <c r="C18" s="39" t="s">
        <v>17</v>
      </c>
      <c r="D18" s="37">
        <v>1</v>
      </c>
      <c r="E18" s="39">
        <v>0</v>
      </c>
      <c r="F18" s="39">
        <v>0</v>
      </c>
      <c r="G18" s="39">
        <v>0</v>
      </c>
      <c r="H18" s="39">
        <v>0</v>
      </c>
      <c r="I18" s="39">
        <v>0</v>
      </c>
      <c r="J18" s="39">
        <v>0</v>
      </c>
      <c r="K18" s="40">
        <v>834017.02</v>
      </c>
    </row>
    <row r="19" spans="1:11">
      <c r="A19" s="36" t="s">
        <v>24</v>
      </c>
      <c r="B19" s="36" t="s">
        <v>25</v>
      </c>
      <c r="C19" s="36" t="s">
        <v>17</v>
      </c>
      <c r="D19" s="36">
        <v>0</v>
      </c>
      <c r="E19" s="36">
        <v>0</v>
      </c>
      <c r="F19" s="37">
        <v>1</v>
      </c>
      <c r="G19" s="36">
        <v>0</v>
      </c>
      <c r="H19" s="36">
        <v>0</v>
      </c>
      <c r="I19" s="36">
        <v>0</v>
      </c>
      <c r="J19" s="36">
        <v>0</v>
      </c>
      <c r="K19" s="38">
        <v>666152.52</v>
      </c>
    </row>
    <row r="20" spans="1:11">
      <c r="A20" s="39" t="s">
        <v>24</v>
      </c>
      <c r="B20" s="39" t="s">
        <v>25</v>
      </c>
      <c r="C20" s="39" t="s">
        <v>17</v>
      </c>
      <c r="D20" s="39">
        <v>0</v>
      </c>
      <c r="E20" s="39">
        <v>0</v>
      </c>
      <c r="F20" s="37">
        <v>1</v>
      </c>
      <c r="G20" s="39">
        <v>0</v>
      </c>
      <c r="H20" s="39">
        <v>0</v>
      </c>
      <c r="I20" s="39">
        <v>0</v>
      </c>
      <c r="J20" s="39">
        <v>0</v>
      </c>
      <c r="K20" s="40">
        <v>573155.18999999994</v>
      </c>
    </row>
    <row r="21" spans="1:11">
      <c r="A21" s="36" t="s">
        <v>24</v>
      </c>
      <c r="B21" s="36" t="s">
        <v>25</v>
      </c>
      <c r="C21" s="36" t="s">
        <v>17</v>
      </c>
      <c r="D21" s="36">
        <v>0</v>
      </c>
      <c r="E21" s="36">
        <v>0</v>
      </c>
      <c r="F21" s="37">
        <v>1</v>
      </c>
      <c r="G21" s="36">
        <v>0</v>
      </c>
      <c r="H21" s="36">
        <v>0</v>
      </c>
      <c r="I21" s="36">
        <v>0</v>
      </c>
      <c r="J21" s="36">
        <v>0</v>
      </c>
      <c r="K21" s="38">
        <v>666573.19999999995</v>
      </c>
    </row>
    <row r="22" spans="1:11">
      <c r="A22" s="39" t="s">
        <v>24</v>
      </c>
      <c r="B22" s="39" t="s">
        <v>25</v>
      </c>
      <c r="C22" s="39" t="s">
        <v>17</v>
      </c>
      <c r="D22" s="39">
        <v>0</v>
      </c>
      <c r="E22" s="39">
        <v>0</v>
      </c>
      <c r="F22" s="37">
        <v>1</v>
      </c>
      <c r="G22" s="39">
        <v>0</v>
      </c>
      <c r="H22" s="39">
        <v>0</v>
      </c>
      <c r="I22" s="39">
        <v>0</v>
      </c>
      <c r="J22" s="39">
        <v>0</v>
      </c>
      <c r="K22" s="40">
        <v>591619.94999999995</v>
      </c>
    </row>
    <row r="23" spans="1:11">
      <c r="A23" s="36" t="s">
        <v>26</v>
      </c>
      <c r="B23" s="36" t="s">
        <v>21</v>
      </c>
      <c r="C23" s="36" t="s">
        <v>17</v>
      </c>
      <c r="D23" s="36">
        <v>0</v>
      </c>
      <c r="E23" s="37">
        <v>1</v>
      </c>
      <c r="F23" s="36">
        <v>0</v>
      </c>
      <c r="G23" s="36">
        <v>0</v>
      </c>
      <c r="H23" s="36">
        <v>0</v>
      </c>
      <c r="I23" s="36">
        <v>0</v>
      </c>
      <c r="J23" s="36">
        <v>0</v>
      </c>
      <c r="K23" s="38">
        <v>415721.82</v>
      </c>
    </row>
    <row r="24" spans="1:11">
      <c r="A24" s="39" t="s">
        <v>26</v>
      </c>
      <c r="B24" s="39" t="s">
        <v>21</v>
      </c>
      <c r="C24" s="39" t="s">
        <v>17</v>
      </c>
      <c r="D24" s="39">
        <v>0</v>
      </c>
      <c r="E24" s="37">
        <v>1</v>
      </c>
      <c r="F24" s="39">
        <v>0</v>
      </c>
      <c r="G24" s="39">
        <v>0</v>
      </c>
      <c r="H24" s="39">
        <v>0</v>
      </c>
      <c r="I24" s="39">
        <v>0</v>
      </c>
      <c r="J24" s="39">
        <v>0</v>
      </c>
      <c r="K24" s="40">
        <v>491905.13</v>
      </c>
    </row>
    <row r="25" spans="1:11">
      <c r="A25" s="36" t="s">
        <v>26</v>
      </c>
      <c r="B25" s="36" t="s">
        <v>21</v>
      </c>
      <c r="C25" s="36" t="s">
        <v>17</v>
      </c>
      <c r="D25" s="36">
        <v>0</v>
      </c>
      <c r="E25" s="37">
        <v>1</v>
      </c>
      <c r="F25" s="36">
        <v>0</v>
      </c>
      <c r="G25" s="36">
        <v>0</v>
      </c>
      <c r="H25" s="36">
        <v>0</v>
      </c>
      <c r="I25" s="36">
        <v>0</v>
      </c>
      <c r="J25" s="36">
        <v>1</v>
      </c>
      <c r="K25" s="38">
        <v>555929.4</v>
      </c>
    </row>
    <row r="26" spans="1:11">
      <c r="A26" s="39" t="s">
        <v>26</v>
      </c>
      <c r="B26" s="39" t="s">
        <v>21</v>
      </c>
      <c r="C26" s="39" t="s">
        <v>17</v>
      </c>
      <c r="D26" s="39">
        <v>0</v>
      </c>
      <c r="E26" s="37">
        <v>1</v>
      </c>
      <c r="F26" s="39">
        <v>0</v>
      </c>
      <c r="G26" s="39">
        <v>0</v>
      </c>
      <c r="H26" s="39">
        <v>0</v>
      </c>
      <c r="I26" s="39">
        <v>0</v>
      </c>
      <c r="J26" s="39">
        <v>0</v>
      </c>
      <c r="K26" s="40">
        <v>565810.99</v>
      </c>
    </row>
    <row r="27" spans="1:11">
      <c r="A27" s="36" t="s">
        <v>27</v>
      </c>
      <c r="B27" s="36" t="s">
        <v>28</v>
      </c>
      <c r="C27" s="36" t="s">
        <v>29</v>
      </c>
      <c r="D27" s="36">
        <v>0</v>
      </c>
      <c r="E27" s="36">
        <v>0</v>
      </c>
      <c r="F27" s="36">
        <v>0</v>
      </c>
      <c r="G27" s="36">
        <v>0</v>
      </c>
      <c r="H27" s="36">
        <v>0</v>
      </c>
      <c r="I27" s="41">
        <v>1</v>
      </c>
      <c r="J27" s="36">
        <v>0</v>
      </c>
      <c r="K27" s="38">
        <v>811771.14</v>
      </c>
    </row>
    <row r="28" spans="1:11">
      <c r="A28" s="39" t="s">
        <v>27</v>
      </c>
      <c r="B28" s="39" t="s">
        <v>28</v>
      </c>
      <c r="C28" s="39" t="s">
        <v>29</v>
      </c>
      <c r="D28" s="39">
        <v>0</v>
      </c>
      <c r="E28" s="39">
        <v>0</v>
      </c>
      <c r="F28" s="39">
        <v>0</v>
      </c>
      <c r="G28" s="39">
        <v>0</v>
      </c>
      <c r="H28" s="39">
        <v>0</v>
      </c>
      <c r="I28" s="41">
        <v>1</v>
      </c>
      <c r="J28" s="39">
        <v>0</v>
      </c>
      <c r="K28" s="40">
        <v>800451.94</v>
      </c>
    </row>
    <row r="29" spans="1:11">
      <c r="A29" s="36" t="s">
        <v>27</v>
      </c>
      <c r="B29" s="36" t="s">
        <v>28</v>
      </c>
      <c r="C29" s="36" t="s">
        <v>29</v>
      </c>
      <c r="D29" s="36">
        <v>0</v>
      </c>
      <c r="E29" s="36">
        <v>0</v>
      </c>
      <c r="F29" s="36">
        <v>0</v>
      </c>
      <c r="G29" s="36">
        <v>0</v>
      </c>
      <c r="H29" s="36">
        <v>0</v>
      </c>
      <c r="I29" s="41">
        <v>1</v>
      </c>
      <c r="J29" s="36">
        <v>0</v>
      </c>
      <c r="K29" s="38">
        <v>783672.82</v>
      </c>
    </row>
    <row r="30" spans="1:11">
      <c r="A30" s="39" t="s">
        <v>27</v>
      </c>
      <c r="B30" s="39" t="s">
        <v>28</v>
      </c>
      <c r="C30" s="39" t="s">
        <v>29</v>
      </c>
      <c r="D30" s="39">
        <v>0</v>
      </c>
      <c r="E30" s="39">
        <v>0</v>
      </c>
      <c r="F30" s="39">
        <v>0</v>
      </c>
      <c r="G30" s="39">
        <v>0</v>
      </c>
      <c r="H30" s="39">
        <v>0</v>
      </c>
      <c r="I30" s="41">
        <v>1</v>
      </c>
      <c r="J30" s="39">
        <v>0</v>
      </c>
      <c r="K30" s="40">
        <v>701641.97</v>
      </c>
    </row>
    <row r="31" spans="1:11">
      <c r="A31" s="36" t="s">
        <v>30</v>
      </c>
      <c r="B31" s="36" t="s">
        <v>16</v>
      </c>
      <c r="C31" s="36" t="s">
        <v>17</v>
      </c>
      <c r="D31" s="37">
        <v>1</v>
      </c>
      <c r="E31" s="36">
        <v>0</v>
      </c>
      <c r="F31" s="36">
        <v>0</v>
      </c>
      <c r="G31" s="36">
        <v>0</v>
      </c>
      <c r="H31" s="36">
        <v>0</v>
      </c>
      <c r="I31" s="36">
        <v>0</v>
      </c>
      <c r="J31" s="36">
        <v>0</v>
      </c>
      <c r="K31" s="38">
        <v>511844.41</v>
      </c>
    </row>
    <row r="32" spans="1:11">
      <c r="A32" s="39" t="s">
        <v>30</v>
      </c>
      <c r="B32" s="39" t="s">
        <v>16</v>
      </c>
      <c r="C32" s="39" t="s">
        <v>17</v>
      </c>
      <c r="D32" s="37">
        <v>1</v>
      </c>
      <c r="E32" s="39">
        <v>0</v>
      </c>
      <c r="F32" s="39">
        <v>0</v>
      </c>
      <c r="G32" s="39">
        <v>0</v>
      </c>
      <c r="H32" s="39">
        <v>0</v>
      </c>
      <c r="I32" s="39">
        <v>0</v>
      </c>
      <c r="J32" s="39">
        <v>0</v>
      </c>
      <c r="K32" s="40">
        <v>537383.79</v>
      </c>
    </row>
    <row r="33" spans="1:11">
      <c r="A33" s="36" t="s">
        <v>30</v>
      </c>
      <c r="B33" s="36" t="s">
        <v>16</v>
      </c>
      <c r="C33" s="36" t="s">
        <v>17</v>
      </c>
      <c r="D33" s="37">
        <v>1</v>
      </c>
      <c r="E33" s="36">
        <v>0</v>
      </c>
      <c r="F33" s="36">
        <v>0</v>
      </c>
      <c r="G33" s="36">
        <v>0</v>
      </c>
      <c r="H33" s="36">
        <v>0</v>
      </c>
      <c r="I33" s="36">
        <v>0</v>
      </c>
      <c r="J33" s="36">
        <v>1</v>
      </c>
      <c r="K33" s="38">
        <v>500173.02</v>
      </c>
    </row>
    <row r="34" spans="1:11">
      <c r="A34" s="39" t="s">
        <v>30</v>
      </c>
      <c r="B34" s="39" t="s">
        <v>16</v>
      </c>
      <c r="C34" s="39" t="s">
        <v>17</v>
      </c>
      <c r="D34" s="37">
        <v>1</v>
      </c>
      <c r="E34" s="39">
        <v>0</v>
      </c>
      <c r="F34" s="39">
        <v>0</v>
      </c>
      <c r="G34" s="39">
        <v>0</v>
      </c>
      <c r="H34" s="39">
        <v>0</v>
      </c>
      <c r="I34" s="39">
        <v>0</v>
      </c>
      <c r="J34" s="39">
        <v>0</v>
      </c>
      <c r="K34" s="40">
        <v>427917.38</v>
      </c>
    </row>
    <row r="35" spans="1:11">
      <c r="A35" s="36" t="s">
        <v>31</v>
      </c>
      <c r="B35" s="36" t="s">
        <v>21</v>
      </c>
      <c r="C35" s="36" t="s">
        <v>17</v>
      </c>
      <c r="D35" s="36">
        <v>0</v>
      </c>
      <c r="E35" s="37">
        <v>1</v>
      </c>
      <c r="F35" s="36">
        <v>0</v>
      </c>
      <c r="G35" s="36">
        <v>0</v>
      </c>
      <c r="H35" s="36">
        <v>0</v>
      </c>
      <c r="I35" s="36">
        <v>0</v>
      </c>
      <c r="J35" s="36">
        <v>0</v>
      </c>
      <c r="K35" s="38">
        <v>641865.03</v>
      </c>
    </row>
    <row r="36" spans="1:11">
      <c r="A36" s="39" t="s">
        <v>31</v>
      </c>
      <c r="B36" s="39" t="s">
        <v>21</v>
      </c>
      <c r="C36" s="39" t="s">
        <v>17</v>
      </c>
      <c r="D36" s="39">
        <v>0</v>
      </c>
      <c r="E36" s="37">
        <v>1</v>
      </c>
      <c r="F36" s="39">
        <v>0</v>
      </c>
      <c r="G36" s="39">
        <v>0</v>
      </c>
      <c r="H36" s="39">
        <v>0</v>
      </c>
      <c r="I36" s="39">
        <v>0</v>
      </c>
      <c r="J36" s="39">
        <v>0</v>
      </c>
      <c r="K36" s="40">
        <v>799477.76000000001</v>
      </c>
    </row>
    <row r="37" spans="1:11">
      <c r="A37" s="36" t="s">
        <v>31</v>
      </c>
      <c r="B37" s="36" t="s">
        <v>21</v>
      </c>
      <c r="C37" s="36" t="s">
        <v>17</v>
      </c>
      <c r="D37" s="36">
        <v>0</v>
      </c>
      <c r="E37" s="37">
        <v>1</v>
      </c>
      <c r="F37" s="36">
        <v>0</v>
      </c>
      <c r="G37" s="36">
        <v>0</v>
      </c>
      <c r="H37" s="36">
        <v>0</v>
      </c>
      <c r="I37" s="36">
        <v>0</v>
      </c>
      <c r="J37" s="36">
        <v>0</v>
      </c>
      <c r="K37" s="38">
        <v>798952.17</v>
      </c>
    </row>
    <row r="38" spans="1:11">
      <c r="A38" s="39" t="s">
        <v>31</v>
      </c>
      <c r="B38" s="39" t="s">
        <v>21</v>
      </c>
      <c r="C38" s="39" t="s">
        <v>17</v>
      </c>
      <c r="D38" s="39">
        <v>0</v>
      </c>
      <c r="E38" s="37">
        <v>1</v>
      </c>
      <c r="F38" s="39">
        <v>0</v>
      </c>
      <c r="G38" s="39">
        <v>0</v>
      </c>
      <c r="H38" s="39">
        <v>0</v>
      </c>
      <c r="I38" s="39">
        <v>0</v>
      </c>
      <c r="J38" s="39">
        <v>0</v>
      </c>
      <c r="K38" s="40">
        <v>800979.78</v>
      </c>
    </row>
    <row r="39" spans="1:11">
      <c r="A39" s="36" t="s">
        <v>32</v>
      </c>
      <c r="B39" s="36" t="s">
        <v>21</v>
      </c>
      <c r="C39" s="36" t="s">
        <v>29</v>
      </c>
      <c r="D39" s="36">
        <v>0</v>
      </c>
      <c r="E39" s="37">
        <v>1</v>
      </c>
      <c r="F39" s="36">
        <v>0</v>
      </c>
      <c r="G39" s="36">
        <v>0</v>
      </c>
      <c r="H39" s="36">
        <v>0</v>
      </c>
      <c r="I39" s="41">
        <v>1</v>
      </c>
      <c r="J39" s="36">
        <v>1</v>
      </c>
      <c r="K39" s="38">
        <v>820593.93</v>
      </c>
    </row>
    <row r="40" spans="1:11">
      <c r="A40" s="39" t="s">
        <v>32</v>
      </c>
      <c r="B40" s="39" t="s">
        <v>21</v>
      </c>
      <c r="C40" s="39" t="s">
        <v>29</v>
      </c>
      <c r="D40" s="39">
        <v>0</v>
      </c>
      <c r="E40" s="37">
        <v>1</v>
      </c>
      <c r="F40" s="39">
        <v>0</v>
      </c>
      <c r="G40" s="39">
        <v>0</v>
      </c>
      <c r="H40" s="39">
        <v>0</v>
      </c>
      <c r="I40" s="41">
        <v>1</v>
      </c>
      <c r="J40" s="39">
        <v>0</v>
      </c>
      <c r="K40" s="40">
        <v>718330.53</v>
      </c>
    </row>
    <row r="41" spans="1:11">
      <c r="A41" s="36" t="s">
        <v>32</v>
      </c>
      <c r="B41" s="36" t="s">
        <v>21</v>
      </c>
      <c r="C41" s="36" t="s">
        <v>29</v>
      </c>
      <c r="D41" s="36">
        <v>0</v>
      </c>
      <c r="E41" s="37">
        <v>1</v>
      </c>
      <c r="F41" s="36">
        <v>0</v>
      </c>
      <c r="G41" s="36">
        <v>0</v>
      </c>
      <c r="H41" s="36">
        <v>0</v>
      </c>
      <c r="I41" s="41">
        <v>1</v>
      </c>
      <c r="J41" s="36">
        <v>0</v>
      </c>
      <c r="K41" s="38">
        <v>736633.4</v>
      </c>
    </row>
    <row r="42" spans="1:11">
      <c r="A42" s="39" t="s">
        <v>32</v>
      </c>
      <c r="B42" s="39" t="s">
        <v>21</v>
      </c>
      <c r="C42" s="39" t="s">
        <v>29</v>
      </c>
      <c r="D42" s="39">
        <v>0</v>
      </c>
      <c r="E42" s="37">
        <v>1</v>
      </c>
      <c r="F42" s="39">
        <v>0</v>
      </c>
      <c r="G42" s="39">
        <v>0</v>
      </c>
      <c r="H42" s="39">
        <v>0</v>
      </c>
      <c r="I42" s="41">
        <v>1</v>
      </c>
      <c r="J42" s="39">
        <v>0</v>
      </c>
      <c r="K42" s="40">
        <v>828623.85</v>
      </c>
    </row>
    <row r="43" spans="1:11">
      <c r="A43" s="36" t="s">
        <v>33</v>
      </c>
      <c r="B43" s="36" t="s">
        <v>16</v>
      </c>
      <c r="C43" s="36" t="s">
        <v>29</v>
      </c>
      <c r="D43" s="37">
        <v>1</v>
      </c>
      <c r="E43" s="36">
        <v>0</v>
      </c>
      <c r="F43" s="36">
        <v>0</v>
      </c>
      <c r="G43" s="36">
        <v>0</v>
      </c>
      <c r="H43" s="36">
        <v>0</v>
      </c>
      <c r="I43" s="41">
        <v>1</v>
      </c>
      <c r="J43" s="36">
        <v>0</v>
      </c>
      <c r="K43" s="38">
        <v>592195.85</v>
      </c>
    </row>
    <row r="44" spans="1:11">
      <c r="A44" s="39" t="s">
        <v>33</v>
      </c>
      <c r="B44" s="39" t="s">
        <v>16</v>
      </c>
      <c r="C44" s="39" t="s">
        <v>29</v>
      </c>
      <c r="D44" s="37">
        <v>1</v>
      </c>
      <c r="E44" s="39">
        <v>0</v>
      </c>
      <c r="F44" s="39">
        <v>0</v>
      </c>
      <c r="G44" s="39">
        <v>0</v>
      </c>
      <c r="H44" s="39">
        <v>0</v>
      </c>
      <c r="I44" s="41">
        <v>1</v>
      </c>
      <c r="J44" s="39">
        <v>0</v>
      </c>
      <c r="K44" s="40">
        <v>532644.46</v>
      </c>
    </row>
    <row r="45" spans="1:11">
      <c r="A45" s="36" t="s">
        <v>33</v>
      </c>
      <c r="B45" s="36" t="s">
        <v>16</v>
      </c>
      <c r="C45" s="36" t="s">
        <v>29</v>
      </c>
      <c r="D45" s="37">
        <v>1</v>
      </c>
      <c r="E45" s="36">
        <v>0</v>
      </c>
      <c r="F45" s="36">
        <v>0</v>
      </c>
      <c r="G45" s="36">
        <v>0</v>
      </c>
      <c r="H45" s="36">
        <v>0</v>
      </c>
      <c r="I45" s="41">
        <v>1</v>
      </c>
      <c r="J45" s="36">
        <v>1</v>
      </c>
      <c r="K45" s="38">
        <v>657429.18000000005</v>
      </c>
    </row>
    <row r="46" spans="1:11">
      <c r="A46" s="39" t="s">
        <v>33</v>
      </c>
      <c r="B46" s="39" t="s">
        <v>16</v>
      </c>
      <c r="C46" s="39" t="s">
        <v>29</v>
      </c>
      <c r="D46" s="37">
        <v>1</v>
      </c>
      <c r="E46" s="39">
        <v>0</v>
      </c>
      <c r="F46" s="39">
        <v>0</v>
      </c>
      <c r="G46" s="39">
        <v>0</v>
      </c>
      <c r="H46" s="39">
        <v>0</v>
      </c>
      <c r="I46" s="41">
        <v>1</v>
      </c>
      <c r="J46" s="39">
        <v>0</v>
      </c>
      <c r="K46" s="40">
        <v>605178</v>
      </c>
    </row>
    <row r="47" spans="1:11">
      <c r="A47" s="36" t="s">
        <v>34</v>
      </c>
      <c r="B47" s="36" t="s">
        <v>28</v>
      </c>
      <c r="C47" s="36" t="s">
        <v>17</v>
      </c>
      <c r="D47" s="36">
        <v>0</v>
      </c>
      <c r="E47" s="36">
        <v>0</v>
      </c>
      <c r="F47" s="36">
        <v>0</v>
      </c>
      <c r="G47" s="36">
        <v>0</v>
      </c>
      <c r="H47" s="36">
        <v>0</v>
      </c>
      <c r="I47" s="36">
        <v>0</v>
      </c>
      <c r="J47" s="36">
        <v>0</v>
      </c>
      <c r="K47" s="38">
        <v>595467.6</v>
      </c>
    </row>
    <row r="48" spans="1:11">
      <c r="A48" s="39" t="s">
        <v>34</v>
      </c>
      <c r="B48" s="39" t="s">
        <v>28</v>
      </c>
      <c r="C48" s="39" t="s">
        <v>17</v>
      </c>
      <c r="D48" s="39">
        <v>0</v>
      </c>
      <c r="E48" s="39">
        <v>0</v>
      </c>
      <c r="F48" s="39">
        <v>0</v>
      </c>
      <c r="G48" s="39">
        <v>0</v>
      </c>
      <c r="H48" s="39">
        <v>0</v>
      </c>
      <c r="I48" s="39">
        <v>0</v>
      </c>
      <c r="J48" s="39">
        <v>0</v>
      </c>
      <c r="K48" s="40">
        <v>599603.4</v>
      </c>
    </row>
    <row r="49" spans="1:11">
      <c r="A49" s="36" t="s">
        <v>34</v>
      </c>
      <c r="B49" s="36" t="s">
        <v>28</v>
      </c>
      <c r="C49" s="36" t="s">
        <v>17</v>
      </c>
      <c r="D49" s="36">
        <v>0</v>
      </c>
      <c r="E49" s="36">
        <v>0</v>
      </c>
      <c r="F49" s="36">
        <v>0</v>
      </c>
      <c r="G49" s="36">
        <v>0</v>
      </c>
      <c r="H49" s="36">
        <v>0</v>
      </c>
      <c r="I49" s="36">
        <v>0</v>
      </c>
      <c r="J49" s="36">
        <v>1</v>
      </c>
      <c r="K49" s="38">
        <v>614800.09</v>
      </c>
    </row>
    <row r="50" spans="1:11">
      <c r="A50" s="39" t="s">
        <v>34</v>
      </c>
      <c r="B50" s="39" t="s">
        <v>28</v>
      </c>
      <c r="C50" s="39" t="s">
        <v>17</v>
      </c>
      <c r="D50" s="39">
        <v>0</v>
      </c>
      <c r="E50" s="39">
        <v>0</v>
      </c>
      <c r="F50" s="39">
        <v>0</v>
      </c>
      <c r="G50" s="39">
        <v>0</v>
      </c>
      <c r="H50" s="39">
        <v>0</v>
      </c>
      <c r="I50" s="39">
        <v>0</v>
      </c>
      <c r="J50" s="39">
        <v>0</v>
      </c>
      <c r="K50" s="40">
        <v>585365.73</v>
      </c>
    </row>
    <row r="51" spans="1:11">
      <c r="A51" s="36" t="s">
        <v>35</v>
      </c>
      <c r="B51" s="36" t="s">
        <v>21</v>
      </c>
      <c r="C51" s="36" t="s">
        <v>29</v>
      </c>
      <c r="D51" s="36">
        <v>0</v>
      </c>
      <c r="E51" s="37">
        <v>1</v>
      </c>
      <c r="F51" s="36">
        <v>0</v>
      </c>
      <c r="G51" s="36">
        <v>0</v>
      </c>
      <c r="H51" s="36">
        <v>0</v>
      </c>
      <c r="I51" s="41">
        <v>1</v>
      </c>
      <c r="J51" s="36">
        <v>1</v>
      </c>
      <c r="K51" s="38">
        <v>622811.74</v>
      </c>
    </row>
    <row r="52" spans="1:11">
      <c r="A52" s="39" t="s">
        <v>35</v>
      </c>
      <c r="B52" s="39" t="s">
        <v>21</v>
      </c>
      <c r="C52" s="39" t="s">
        <v>29</v>
      </c>
      <c r="D52" s="39">
        <v>0</v>
      </c>
      <c r="E52" s="37">
        <v>1</v>
      </c>
      <c r="F52" s="39">
        <v>0</v>
      </c>
      <c r="G52" s="39">
        <v>0</v>
      </c>
      <c r="H52" s="39">
        <v>0</v>
      </c>
      <c r="I52" s="41">
        <v>1</v>
      </c>
      <c r="J52" s="39">
        <v>0</v>
      </c>
      <c r="K52" s="40">
        <v>603297.56999999995</v>
      </c>
    </row>
    <row r="53" spans="1:11">
      <c r="A53" s="36" t="s">
        <v>35</v>
      </c>
      <c r="B53" s="36" t="s">
        <v>21</v>
      </c>
      <c r="C53" s="36" t="s">
        <v>29</v>
      </c>
      <c r="D53" s="36">
        <v>0</v>
      </c>
      <c r="E53" s="37">
        <v>1</v>
      </c>
      <c r="F53" s="36">
        <v>0</v>
      </c>
      <c r="G53" s="36">
        <v>0</v>
      </c>
      <c r="H53" s="36">
        <v>0</v>
      </c>
      <c r="I53" s="41">
        <v>1</v>
      </c>
      <c r="J53" s="36">
        <v>0</v>
      </c>
      <c r="K53" s="38">
        <v>625672.86</v>
      </c>
    </row>
    <row r="54" spans="1:11">
      <c r="A54" s="39" t="s">
        <v>35</v>
      </c>
      <c r="B54" s="39" t="s">
        <v>21</v>
      </c>
      <c r="C54" s="39" t="s">
        <v>29</v>
      </c>
      <c r="D54" s="39">
        <v>0</v>
      </c>
      <c r="E54" s="37">
        <v>1</v>
      </c>
      <c r="F54" s="39">
        <v>0</v>
      </c>
      <c r="G54" s="39">
        <v>0</v>
      </c>
      <c r="H54" s="39">
        <v>0</v>
      </c>
      <c r="I54" s="41">
        <v>1</v>
      </c>
      <c r="J54" s="39">
        <v>0</v>
      </c>
      <c r="K54" s="40">
        <v>773815.14</v>
      </c>
    </row>
    <row r="55" spans="1:11">
      <c r="A55" s="36" t="s">
        <v>36</v>
      </c>
      <c r="B55" s="36" t="s">
        <v>28</v>
      </c>
      <c r="C55" s="36" t="s">
        <v>19</v>
      </c>
      <c r="D55" s="36">
        <v>0</v>
      </c>
      <c r="E55" s="36">
        <v>0</v>
      </c>
      <c r="F55" s="36">
        <v>0</v>
      </c>
      <c r="G55" s="36">
        <v>0</v>
      </c>
      <c r="H55" s="41">
        <v>1</v>
      </c>
      <c r="I55" s="36">
        <v>0</v>
      </c>
      <c r="J55" s="36">
        <v>0</v>
      </c>
      <c r="K55" s="38">
        <v>463534.25</v>
      </c>
    </row>
    <row r="56" spans="1:11">
      <c r="A56" s="39" t="s">
        <v>36</v>
      </c>
      <c r="B56" s="39" t="s">
        <v>28</v>
      </c>
      <c r="C56" s="39" t="s">
        <v>19</v>
      </c>
      <c r="D56" s="39">
        <v>0</v>
      </c>
      <c r="E56" s="39">
        <v>0</v>
      </c>
      <c r="F56" s="39">
        <v>0</v>
      </c>
      <c r="G56" s="39">
        <v>0</v>
      </c>
      <c r="H56" s="41">
        <v>1</v>
      </c>
      <c r="I56" s="39">
        <v>0</v>
      </c>
      <c r="J56" s="39">
        <v>0</v>
      </c>
      <c r="K56" s="40">
        <v>746677.75</v>
      </c>
    </row>
    <row r="57" spans="1:11">
      <c r="A57" s="36" t="s">
        <v>36</v>
      </c>
      <c r="B57" s="36" t="s">
        <v>28</v>
      </c>
      <c r="C57" s="36" t="s">
        <v>19</v>
      </c>
      <c r="D57" s="36">
        <v>0</v>
      </c>
      <c r="E57" s="36">
        <v>0</v>
      </c>
      <c r="F57" s="36">
        <v>0</v>
      </c>
      <c r="G57" s="36">
        <v>0</v>
      </c>
      <c r="H57" s="41">
        <v>1</v>
      </c>
      <c r="I57" s="36">
        <v>0</v>
      </c>
      <c r="J57" s="36">
        <v>0</v>
      </c>
      <c r="K57" s="38">
        <v>720852.5</v>
      </c>
    </row>
    <row r="58" spans="1:11">
      <c r="A58" s="39" t="s">
        <v>36</v>
      </c>
      <c r="B58" s="39" t="s">
        <v>28</v>
      </c>
      <c r="C58" s="39" t="s">
        <v>19</v>
      </c>
      <c r="D58" s="39">
        <v>0</v>
      </c>
      <c r="E58" s="39">
        <v>0</v>
      </c>
      <c r="F58" s="39">
        <v>0</v>
      </c>
      <c r="G58" s="39">
        <v>0</v>
      </c>
      <c r="H58" s="41">
        <v>1</v>
      </c>
      <c r="I58" s="39">
        <v>0</v>
      </c>
      <c r="J58" s="39">
        <v>0</v>
      </c>
      <c r="K58" s="40">
        <v>487464.91</v>
      </c>
    </row>
    <row r="59" spans="1:11">
      <c r="A59" s="36" t="s">
        <v>37</v>
      </c>
      <c r="B59" s="36" t="s">
        <v>16</v>
      </c>
      <c r="C59" s="36" t="s">
        <v>22</v>
      </c>
      <c r="D59" s="37">
        <v>1</v>
      </c>
      <c r="E59" s="36">
        <v>0</v>
      </c>
      <c r="F59" s="36">
        <v>0</v>
      </c>
      <c r="G59" s="41">
        <v>1</v>
      </c>
      <c r="H59" s="36">
        <v>0</v>
      </c>
      <c r="I59" s="36">
        <v>0</v>
      </c>
      <c r="J59" s="36">
        <v>0</v>
      </c>
      <c r="K59" s="38">
        <v>518049.26</v>
      </c>
    </row>
    <row r="60" spans="1:11">
      <c r="A60" s="39" t="s">
        <v>37</v>
      </c>
      <c r="B60" s="39" t="s">
        <v>16</v>
      </c>
      <c r="C60" s="39" t="s">
        <v>22</v>
      </c>
      <c r="D60" s="37">
        <v>1</v>
      </c>
      <c r="E60" s="39">
        <v>0</v>
      </c>
      <c r="F60" s="39">
        <v>0</v>
      </c>
      <c r="G60" s="41">
        <v>1</v>
      </c>
      <c r="H60" s="39">
        <v>0</v>
      </c>
      <c r="I60" s="39">
        <v>0</v>
      </c>
      <c r="J60" s="39">
        <v>0</v>
      </c>
      <c r="K60" s="40">
        <v>500298.48</v>
      </c>
    </row>
    <row r="61" spans="1:11">
      <c r="A61" s="36" t="s">
        <v>37</v>
      </c>
      <c r="B61" s="36" t="s">
        <v>16</v>
      </c>
      <c r="C61" s="36" t="s">
        <v>22</v>
      </c>
      <c r="D61" s="37">
        <v>1</v>
      </c>
      <c r="E61" s="36">
        <v>0</v>
      </c>
      <c r="F61" s="36">
        <v>0</v>
      </c>
      <c r="G61" s="41">
        <v>1</v>
      </c>
      <c r="H61" s="36">
        <v>0</v>
      </c>
      <c r="I61" s="36">
        <v>0</v>
      </c>
      <c r="J61" s="36">
        <v>0</v>
      </c>
      <c r="K61" s="38">
        <v>617291.15</v>
      </c>
    </row>
    <row r="62" spans="1:11">
      <c r="A62" s="39" t="s">
        <v>37</v>
      </c>
      <c r="B62" s="39" t="s">
        <v>16</v>
      </c>
      <c r="C62" s="39" t="s">
        <v>22</v>
      </c>
      <c r="D62" s="37">
        <v>1</v>
      </c>
      <c r="E62" s="39">
        <v>0</v>
      </c>
      <c r="F62" s="39">
        <v>0</v>
      </c>
      <c r="G62" s="41">
        <v>1</v>
      </c>
      <c r="H62" s="39">
        <v>0</v>
      </c>
      <c r="I62" s="39">
        <v>0</v>
      </c>
      <c r="J62" s="39">
        <v>0</v>
      </c>
      <c r="K62" s="40">
        <v>553756.43000000005</v>
      </c>
    </row>
    <row r="63" spans="1:11">
      <c r="A63" s="36" t="s">
        <v>38</v>
      </c>
      <c r="B63" s="36" t="s">
        <v>25</v>
      </c>
      <c r="C63" s="36" t="s">
        <v>19</v>
      </c>
      <c r="D63" s="36">
        <v>0</v>
      </c>
      <c r="E63" s="36">
        <v>0</v>
      </c>
      <c r="F63" s="37">
        <v>1</v>
      </c>
      <c r="G63" s="36">
        <v>0</v>
      </c>
      <c r="H63" s="41">
        <v>1</v>
      </c>
      <c r="I63" s="36">
        <v>0</v>
      </c>
      <c r="J63" s="36">
        <v>0</v>
      </c>
      <c r="K63" s="38">
        <v>749559.71</v>
      </c>
    </row>
    <row r="64" spans="1:11">
      <c r="A64" s="39" t="s">
        <v>38</v>
      </c>
      <c r="B64" s="39" t="s">
        <v>25</v>
      </c>
      <c r="C64" s="39" t="s">
        <v>19</v>
      </c>
      <c r="D64" s="39">
        <v>0</v>
      </c>
      <c r="E64" s="39">
        <v>0</v>
      </c>
      <c r="F64" s="37">
        <v>1</v>
      </c>
      <c r="G64" s="39">
        <v>0</v>
      </c>
      <c r="H64" s="41">
        <v>1</v>
      </c>
      <c r="I64" s="39">
        <v>0</v>
      </c>
      <c r="J64" s="39">
        <v>0</v>
      </c>
      <c r="K64" s="40">
        <v>615966.48</v>
      </c>
    </row>
    <row r="65" spans="1:11">
      <c r="A65" s="36" t="s">
        <v>38</v>
      </c>
      <c r="B65" s="36" t="s">
        <v>25</v>
      </c>
      <c r="C65" s="36" t="s">
        <v>19</v>
      </c>
      <c r="D65" s="36">
        <v>0</v>
      </c>
      <c r="E65" s="36">
        <v>0</v>
      </c>
      <c r="F65" s="37">
        <v>1</v>
      </c>
      <c r="G65" s="36">
        <v>0</v>
      </c>
      <c r="H65" s="41">
        <v>1</v>
      </c>
      <c r="I65" s="36">
        <v>0</v>
      </c>
      <c r="J65" s="36">
        <v>0</v>
      </c>
      <c r="K65" s="38">
        <v>572011.19999999995</v>
      </c>
    </row>
    <row r="66" spans="1:11">
      <c r="A66" s="39" t="s">
        <v>38</v>
      </c>
      <c r="B66" s="39" t="s">
        <v>25</v>
      </c>
      <c r="C66" s="39" t="s">
        <v>19</v>
      </c>
      <c r="D66" s="39">
        <v>0</v>
      </c>
      <c r="E66" s="39">
        <v>0</v>
      </c>
      <c r="F66" s="37">
        <v>1</v>
      </c>
      <c r="G66" s="39">
        <v>0</v>
      </c>
      <c r="H66" s="41">
        <v>1</v>
      </c>
      <c r="I66" s="39">
        <v>0</v>
      </c>
      <c r="J66" s="39">
        <v>0</v>
      </c>
      <c r="K66" s="40">
        <v>761860.19</v>
      </c>
    </row>
    <row r="67" spans="1:11">
      <c r="A67" s="36" t="s">
        <v>39</v>
      </c>
      <c r="B67" s="36" t="s">
        <v>28</v>
      </c>
      <c r="C67" s="36" t="s">
        <v>19</v>
      </c>
      <c r="D67" s="36">
        <v>0</v>
      </c>
      <c r="E67" s="36">
        <v>0</v>
      </c>
      <c r="F67" s="36">
        <v>0</v>
      </c>
      <c r="G67" s="36">
        <v>0</v>
      </c>
      <c r="H67" s="41">
        <v>1</v>
      </c>
      <c r="I67" s="36">
        <v>0</v>
      </c>
      <c r="J67" s="36">
        <v>1</v>
      </c>
      <c r="K67" s="38">
        <v>784502.68</v>
      </c>
    </row>
    <row r="68" spans="1:11">
      <c r="A68" s="39" t="s">
        <v>39</v>
      </c>
      <c r="B68" s="39" t="s">
        <v>28</v>
      </c>
      <c r="C68" s="39" t="s">
        <v>19</v>
      </c>
      <c r="D68" s="39">
        <v>0</v>
      </c>
      <c r="E68" s="39">
        <v>0</v>
      </c>
      <c r="F68" s="39">
        <v>0</v>
      </c>
      <c r="G68" s="39">
        <v>0</v>
      </c>
      <c r="H68" s="41">
        <v>1</v>
      </c>
      <c r="I68" s="39">
        <v>0</v>
      </c>
      <c r="J68" s="39">
        <v>0</v>
      </c>
      <c r="K68" s="40">
        <v>717141.55</v>
      </c>
    </row>
    <row r="69" spans="1:11">
      <c r="A69" s="36" t="s">
        <v>39</v>
      </c>
      <c r="B69" s="36" t="s">
        <v>28</v>
      </c>
      <c r="C69" s="36" t="s">
        <v>19</v>
      </c>
      <c r="D69" s="36">
        <v>0</v>
      </c>
      <c r="E69" s="36">
        <v>0</v>
      </c>
      <c r="F69" s="36">
        <v>0</v>
      </c>
      <c r="G69" s="36">
        <v>0</v>
      </c>
      <c r="H69" s="41">
        <v>1</v>
      </c>
      <c r="I69" s="36">
        <v>0</v>
      </c>
      <c r="J69" s="36">
        <v>1</v>
      </c>
      <c r="K69" s="38">
        <v>685379.08</v>
      </c>
    </row>
    <row r="70" spans="1:11">
      <c r="A70" s="39" t="s">
        <v>39</v>
      </c>
      <c r="B70" s="39" t="s">
        <v>28</v>
      </c>
      <c r="C70" s="39" t="s">
        <v>19</v>
      </c>
      <c r="D70" s="39">
        <v>0</v>
      </c>
      <c r="E70" s="39">
        <v>0</v>
      </c>
      <c r="F70" s="39">
        <v>0</v>
      </c>
      <c r="G70" s="39">
        <v>0</v>
      </c>
      <c r="H70" s="41">
        <v>1</v>
      </c>
      <c r="I70" s="39">
        <v>0</v>
      </c>
      <c r="J70" s="39">
        <v>0</v>
      </c>
      <c r="K70" s="40">
        <v>740496.65</v>
      </c>
    </row>
    <row r="71" spans="1:11">
      <c r="A71" s="36" t="s">
        <v>40</v>
      </c>
      <c r="B71" s="36" t="s">
        <v>16</v>
      </c>
      <c r="C71" s="36" t="s">
        <v>19</v>
      </c>
      <c r="D71" s="37">
        <v>1</v>
      </c>
      <c r="E71" s="36">
        <v>0</v>
      </c>
      <c r="F71" s="36">
        <v>0</v>
      </c>
      <c r="G71" s="36">
        <v>0</v>
      </c>
      <c r="H71" s="41">
        <v>1</v>
      </c>
      <c r="I71" s="36">
        <v>0</v>
      </c>
      <c r="J71" s="36">
        <v>1</v>
      </c>
      <c r="K71" s="38">
        <v>661927.14</v>
      </c>
    </row>
    <row r="72" spans="1:11">
      <c r="A72" s="39" t="s">
        <v>40</v>
      </c>
      <c r="B72" s="39" t="s">
        <v>16</v>
      </c>
      <c r="C72" s="39" t="s">
        <v>19</v>
      </c>
      <c r="D72" s="37">
        <v>1</v>
      </c>
      <c r="E72" s="39">
        <v>0</v>
      </c>
      <c r="F72" s="39">
        <v>0</v>
      </c>
      <c r="G72" s="39">
        <v>0</v>
      </c>
      <c r="H72" s="41">
        <v>1</v>
      </c>
      <c r="I72" s="39">
        <v>0</v>
      </c>
      <c r="J72" s="39">
        <v>0</v>
      </c>
      <c r="K72" s="40">
        <v>479050.5</v>
      </c>
    </row>
    <row r="73" spans="1:11">
      <c r="A73" s="36" t="s">
        <v>40</v>
      </c>
      <c r="B73" s="36" t="s">
        <v>16</v>
      </c>
      <c r="C73" s="36" t="s">
        <v>19</v>
      </c>
      <c r="D73" s="37">
        <v>1</v>
      </c>
      <c r="E73" s="36">
        <v>0</v>
      </c>
      <c r="F73" s="36">
        <v>0</v>
      </c>
      <c r="G73" s="36">
        <v>0</v>
      </c>
      <c r="H73" s="41">
        <v>1</v>
      </c>
      <c r="I73" s="36">
        <v>0</v>
      </c>
      <c r="J73" s="36">
        <v>0</v>
      </c>
      <c r="K73" s="38">
        <v>605023.87</v>
      </c>
    </row>
    <row r="74" spans="1:11">
      <c r="A74" s="39" t="s">
        <v>40</v>
      </c>
      <c r="B74" s="39" t="s">
        <v>16</v>
      </c>
      <c r="C74" s="39" t="s">
        <v>19</v>
      </c>
      <c r="D74" s="37">
        <v>1</v>
      </c>
      <c r="E74" s="39">
        <v>0</v>
      </c>
      <c r="F74" s="39">
        <v>0</v>
      </c>
      <c r="G74" s="39">
        <v>0</v>
      </c>
      <c r="H74" s="41">
        <v>1</v>
      </c>
      <c r="I74" s="39">
        <v>0</v>
      </c>
      <c r="J74" s="39">
        <v>0</v>
      </c>
      <c r="K74" s="40">
        <v>674774.09</v>
      </c>
    </row>
    <row r="75" spans="1:11">
      <c r="A75" s="36" t="s">
        <v>41</v>
      </c>
      <c r="B75" s="36" t="s">
        <v>16</v>
      </c>
      <c r="C75" s="36" t="s">
        <v>17</v>
      </c>
      <c r="D75" s="37">
        <v>1</v>
      </c>
      <c r="E75" s="36">
        <v>0</v>
      </c>
      <c r="F75" s="36">
        <v>0</v>
      </c>
      <c r="G75" s="36">
        <v>0</v>
      </c>
      <c r="H75" s="36">
        <v>0</v>
      </c>
      <c r="I75" s="36">
        <v>0</v>
      </c>
      <c r="J75" s="36">
        <v>0</v>
      </c>
      <c r="K75" s="38">
        <v>616069.41</v>
      </c>
    </row>
    <row r="76" spans="1:11">
      <c r="A76" s="39" t="s">
        <v>41</v>
      </c>
      <c r="B76" s="39" t="s">
        <v>16</v>
      </c>
      <c r="C76" s="39" t="s">
        <v>17</v>
      </c>
      <c r="D76" s="37">
        <v>1</v>
      </c>
      <c r="E76" s="39">
        <v>0</v>
      </c>
      <c r="F76" s="39">
        <v>0</v>
      </c>
      <c r="G76" s="39">
        <v>0</v>
      </c>
      <c r="H76" s="39">
        <v>0</v>
      </c>
      <c r="I76" s="39">
        <v>0</v>
      </c>
      <c r="J76" s="39">
        <v>0</v>
      </c>
      <c r="K76" s="40">
        <v>630829.93999999994</v>
      </c>
    </row>
    <row r="77" spans="1:11">
      <c r="A77" s="36" t="s">
        <v>41</v>
      </c>
      <c r="B77" s="36" t="s">
        <v>16</v>
      </c>
      <c r="C77" s="36" t="s">
        <v>17</v>
      </c>
      <c r="D77" s="37">
        <v>1</v>
      </c>
      <c r="E77" s="36">
        <v>0</v>
      </c>
      <c r="F77" s="36">
        <v>0</v>
      </c>
      <c r="G77" s="36">
        <v>0</v>
      </c>
      <c r="H77" s="36">
        <v>0</v>
      </c>
      <c r="I77" s="36">
        <v>0</v>
      </c>
      <c r="J77" s="36">
        <v>1</v>
      </c>
      <c r="K77" s="38">
        <v>788087.68</v>
      </c>
    </row>
    <row r="78" spans="1:11">
      <c r="A78" s="39" t="s">
        <v>41</v>
      </c>
      <c r="B78" s="39" t="s">
        <v>16</v>
      </c>
      <c r="C78" s="39" t="s">
        <v>17</v>
      </c>
      <c r="D78" s="37">
        <v>1</v>
      </c>
      <c r="E78" s="39">
        <v>0</v>
      </c>
      <c r="F78" s="39">
        <v>0</v>
      </c>
      <c r="G78" s="39">
        <v>0</v>
      </c>
      <c r="H78" s="39">
        <v>0</v>
      </c>
      <c r="I78" s="39">
        <v>0</v>
      </c>
      <c r="J78" s="39">
        <v>0</v>
      </c>
      <c r="K78" s="40">
        <v>680840.36</v>
      </c>
    </row>
    <row r="79" spans="1:11">
      <c r="A79" s="36" t="s">
        <v>42</v>
      </c>
      <c r="B79" s="36" t="s">
        <v>25</v>
      </c>
      <c r="C79" s="36" t="s">
        <v>19</v>
      </c>
      <c r="D79" s="36">
        <v>0</v>
      </c>
      <c r="E79" s="36">
        <v>0</v>
      </c>
      <c r="F79" s="37">
        <v>1</v>
      </c>
      <c r="G79" s="36">
        <v>0</v>
      </c>
      <c r="H79" s="41">
        <v>1</v>
      </c>
      <c r="I79" s="36">
        <v>0</v>
      </c>
      <c r="J79" s="36">
        <v>1</v>
      </c>
      <c r="K79" s="38">
        <v>643657.47</v>
      </c>
    </row>
    <row r="80" spans="1:11">
      <c r="A80" s="39" t="s">
        <v>42</v>
      </c>
      <c r="B80" s="39" t="s">
        <v>25</v>
      </c>
      <c r="C80" s="39" t="s">
        <v>19</v>
      </c>
      <c r="D80" s="39">
        <v>0</v>
      </c>
      <c r="E80" s="39">
        <v>0</v>
      </c>
      <c r="F80" s="37">
        <v>1</v>
      </c>
      <c r="G80" s="39">
        <v>0</v>
      </c>
      <c r="H80" s="41">
        <v>1</v>
      </c>
      <c r="I80" s="39">
        <v>0</v>
      </c>
      <c r="J80" s="39">
        <v>0</v>
      </c>
      <c r="K80" s="40">
        <v>691112.6</v>
      </c>
    </row>
    <row r="81" spans="1:11">
      <c r="A81" s="36" t="s">
        <v>42</v>
      </c>
      <c r="B81" s="36" t="s">
        <v>25</v>
      </c>
      <c r="C81" s="36" t="s">
        <v>19</v>
      </c>
      <c r="D81" s="36">
        <v>0</v>
      </c>
      <c r="E81" s="36">
        <v>0</v>
      </c>
      <c r="F81" s="37">
        <v>1</v>
      </c>
      <c r="G81" s="36">
        <v>0</v>
      </c>
      <c r="H81" s="41">
        <v>1</v>
      </c>
      <c r="I81" s="36">
        <v>0</v>
      </c>
      <c r="J81" s="36">
        <v>0</v>
      </c>
      <c r="K81" s="38">
        <v>776922.17</v>
      </c>
    </row>
    <row r="82" spans="1:11">
      <c r="A82" s="39" t="s">
        <v>42</v>
      </c>
      <c r="B82" s="39" t="s">
        <v>25</v>
      </c>
      <c r="C82" s="39" t="s">
        <v>19</v>
      </c>
      <c r="D82" s="39">
        <v>0</v>
      </c>
      <c r="E82" s="39">
        <v>0</v>
      </c>
      <c r="F82" s="37">
        <v>1</v>
      </c>
      <c r="G82" s="39">
        <v>0</v>
      </c>
      <c r="H82" s="41">
        <v>1</v>
      </c>
      <c r="I82" s="39">
        <v>0</v>
      </c>
      <c r="J82" s="39">
        <v>0</v>
      </c>
      <c r="K82" s="40">
        <v>636561.34</v>
      </c>
    </row>
    <row r="83" spans="1:11">
      <c r="A83" s="36" t="s">
        <v>43</v>
      </c>
      <c r="B83" s="36" t="s">
        <v>28</v>
      </c>
      <c r="C83" s="36" t="s">
        <v>29</v>
      </c>
      <c r="D83" s="36">
        <v>0</v>
      </c>
      <c r="E83" s="36">
        <v>0</v>
      </c>
      <c r="F83" s="36">
        <v>0</v>
      </c>
      <c r="G83" s="36">
        <v>0</v>
      </c>
      <c r="H83" s="36">
        <v>0</v>
      </c>
      <c r="I83" s="41">
        <v>1</v>
      </c>
      <c r="J83" s="36">
        <v>0</v>
      </c>
      <c r="K83" s="38">
        <v>621369.57999999996</v>
      </c>
    </row>
    <row r="84" spans="1:11">
      <c r="A84" s="39" t="s">
        <v>43</v>
      </c>
      <c r="B84" s="39" t="s">
        <v>28</v>
      </c>
      <c r="C84" s="39" t="s">
        <v>29</v>
      </c>
      <c r="D84" s="39">
        <v>0</v>
      </c>
      <c r="E84" s="39">
        <v>0</v>
      </c>
      <c r="F84" s="39">
        <v>0</v>
      </c>
      <c r="G84" s="39">
        <v>0</v>
      </c>
      <c r="H84" s="39">
        <v>0</v>
      </c>
      <c r="I84" s="41">
        <v>1</v>
      </c>
      <c r="J84" s="39">
        <v>0</v>
      </c>
      <c r="K84" s="40">
        <v>682208.01</v>
      </c>
    </row>
    <row r="85" spans="1:11">
      <c r="A85" s="36" t="s">
        <v>43</v>
      </c>
      <c r="B85" s="36" t="s">
        <v>28</v>
      </c>
      <c r="C85" s="36" t="s">
        <v>29</v>
      </c>
      <c r="D85" s="36">
        <v>0</v>
      </c>
      <c r="E85" s="36">
        <v>0</v>
      </c>
      <c r="F85" s="36">
        <v>0</v>
      </c>
      <c r="G85" s="36">
        <v>0</v>
      </c>
      <c r="H85" s="36">
        <v>0</v>
      </c>
      <c r="I85" s="41">
        <v>1</v>
      </c>
      <c r="J85" s="36">
        <v>0</v>
      </c>
      <c r="K85" s="38">
        <v>727241.86</v>
      </c>
    </row>
    <row r="86" spans="1:11">
      <c r="A86" s="39" t="s">
        <v>43</v>
      </c>
      <c r="B86" s="39" t="s">
        <v>28</v>
      </c>
      <c r="C86" s="39" t="s">
        <v>29</v>
      </c>
      <c r="D86" s="39">
        <v>0</v>
      </c>
      <c r="E86" s="39">
        <v>0</v>
      </c>
      <c r="F86" s="39">
        <v>0</v>
      </c>
      <c r="G86" s="39">
        <v>0</v>
      </c>
      <c r="H86" s="39">
        <v>0</v>
      </c>
      <c r="I86" s="41">
        <v>1</v>
      </c>
      <c r="J86" s="39">
        <v>0</v>
      </c>
      <c r="K86" s="40">
        <v>569100.78</v>
      </c>
    </row>
    <row r="87" spans="1:11">
      <c r="A87" s="36" t="s">
        <v>44</v>
      </c>
      <c r="B87" s="36" t="s">
        <v>28</v>
      </c>
      <c r="C87" s="36" t="s">
        <v>19</v>
      </c>
      <c r="D87" s="36">
        <v>0</v>
      </c>
      <c r="E87" s="36">
        <v>0</v>
      </c>
      <c r="F87" s="36">
        <v>0</v>
      </c>
      <c r="G87" s="36">
        <v>0</v>
      </c>
      <c r="H87" s="41">
        <v>1</v>
      </c>
      <c r="I87" s="36">
        <v>0</v>
      </c>
      <c r="J87" s="36">
        <v>0</v>
      </c>
      <c r="K87" s="38">
        <v>574436.29</v>
      </c>
    </row>
    <row r="88" spans="1:11">
      <c r="A88" s="39" t="s">
        <v>44</v>
      </c>
      <c r="B88" s="39" t="s">
        <v>28</v>
      </c>
      <c r="C88" s="39" t="s">
        <v>19</v>
      </c>
      <c r="D88" s="39">
        <v>0</v>
      </c>
      <c r="E88" s="39">
        <v>0</v>
      </c>
      <c r="F88" s="39">
        <v>0</v>
      </c>
      <c r="G88" s="39">
        <v>0</v>
      </c>
      <c r="H88" s="41">
        <v>1</v>
      </c>
      <c r="I88" s="39">
        <v>0</v>
      </c>
      <c r="J88" s="39">
        <v>0</v>
      </c>
      <c r="K88" s="40">
        <v>611766.72</v>
      </c>
    </row>
    <row r="89" spans="1:11">
      <c r="A89" s="36" t="s">
        <v>44</v>
      </c>
      <c r="B89" s="36" t="s">
        <v>28</v>
      </c>
      <c r="C89" s="36" t="s">
        <v>19</v>
      </c>
      <c r="D89" s="36">
        <v>0</v>
      </c>
      <c r="E89" s="36">
        <v>0</v>
      </c>
      <c r="F89" s="36">
        <v>0</v>
      </c>
      <c r="G89" s="36">
        <v>0</v>
      </c>
      <c r="H89" s="41">
        <v>1</v>
      </c>
      <c r="I89" s="36">
        <v>0</v>
      </c>
      <c r="J89" s="36">
        <v>0</v>
      </c>
      <c r="K89" s="38">
        <v>614596.31999999995</v>
      </c>
    </row>
    <row r="90" spans="1:11">
      <c r="A90" s="39" t="s">
        <v>44</v>
      </c>
      <c r="B90" s="39" t="s">
        <v>28</v>
      </c>
      <c r="C90" s="39" t="s">
        <v>19</v>
      </c>
      <c r="D90" s="39">
        <v>0</v>
      </c>
      <c r="E90" s="39">
        <v>0</v>
      </c>
      <c r="F90" s="39">
        <v>0</v>
      </c>
      <c r="G90" s="39">
        <v>0</v>
      </c>
      <c r="H90" s="41">
        <v>1</v>
      </c>
      <c r="I90" s="39">
        <v>0</v>
      </c>
      <c r="J90" s="39">
        <v>0</v>
      </c>
      <c r="K90" s="40">
        <v>450711.92</v>
      </c>
    </row>
    <row r="91" spans="1:11">
      <c r="A91" s="36" t="s">
        <v>45</v>
      </c>
      <c r="B91" s="36" t="s">
        <v>25</v>
      </c>
      <c r="C91" s="36" t="s">
        <v>29</v>
      </c>
      <c r="D91" s="36">
        <v>0</v>
      </c>
      <c r="E91" s="36">
        <v>0</v>
      </c>
      <c r="F91" s="37">
        <v>1</v>
      </c>
      <c r="G91" s="36">
        <v>0</v>
      </c>
      <c r="H91" s="36">
        <v>0</v>
      </c>
      <c r="I91" s="41">
        <v>1</v>
      </c>
      <c r="J91" s="36">
        <v>1</v>
      </c>
      <c r="K91" s="38">
        <v>711213.46</v>
      </c>
    </row>
    <row r="92" spans="1:11">
      <c r="A92" s="39" t="s">
        <v>45</v>
      </c>
      <c r="B92" s="39" t="s">
        <v>25</v>
      </c>
      <c r="C92" s="39" t="s">
        <v>29</v>
      </c>
      <c r="D92" s="39">
        <v>0</v>
      </c>
      <c r="E92" s="39">
        <v>0</v>
      </c>
      <c r="F92" s="37">
        <v>1</v>
      </c>
      <c r="G92" s="39">
        <v>0</v>
      </c>
      <c r="H92" s="39">
        <v>0</v>
      </c>
      <c r="I92" s="41">
        <v>1</v>
      </c>
      <c r="J92" s="39">
        <v>0</v>
      </c>
      <c r="K92" s="40">
        <v>627171.9</v>
      </c>
    </row>
    <row r="93" spans="1:11">
      <c r="A93" s="36" t="s">
        <v>45</v>
      </c>
      <c r="B93" s="36" t="s">
        <v>25</v>
      </c>
      <c r="C93" s="36" t="s">
        <v>29</v>
      </c>
      <c r="D93" s="36">
        <v>0</v>
      </c>
      <c r="E93" s="36">
        <v>0</v>
      </c>
      <c r="F93" s="37">
        <v>1</v>
      </c>
      <c r="G93" s="36">
        <v>0</v>
      </c>
      <c r="H93" s="36">
        <v>0</v>
      </c>
      <c r="I93" s="41">
        <v>1</v>
      </c>
      <c r="J93" s="36">
        <v>0</v>
      </c>
      <c r="K93" s="38">
        <v>739852.58</v>
      </c>
    </row>
    <row r="94" spans="1:11">
      <c r="A94" s="39" t="s">
        <v>45</v>
      </c>
      <c r="B94" s="39" t="s">
        <v>25</v>
      </c>
      <c r="C94" s="39" t="s">
        <v>29</v>
      </c>
      <c r="D94" s="39">
        <v>0</v>
      </c>
      <c r="E94" s="39">
        <v>0</v>
      </c>
      <c r="F94" s="37">
        <v>1</v>
      </c>
      <c r="G94" s="39">
        <v>0</v>
      </c>
      <c r="H94" s="39">
        <v>0</v>
      </c>
      <c r="I94" s="41">
        <v>1</v>
      </c>
      <c r="J94" s="39">
        <v>0</v>
      </c>
      <c r="K94" s="40">
        <v>586307.22</v>
      </c>
    </row>
    <row r="95" spans="1:11">
      <c r="A95" s="36" t="s">
        <v>46</v>
      </c>
      <c r="B95" s="36" t="s">
        <v>28</v>
      </c>
      <c r="C95" s="36" t="s">
        <v>17</v>
      </c>
      <c r="D95" s="36">
        <v>0</v>
      </c>
      <c r="E95" s="36">
        <v>0</v>
      </c>
      <c r="F95" s="36">
        <v>0</v>
      </c>
      <c r="G95" s="36">
        <v>0</v>
      </c>
      <c r="H95" s="36">
        <v>0</v>
      </c>
      <c r="I95" s="36">
        <v>0</v>
      </c>
      <c r="J95" s="36">
        <v>0</v>
      </c>
      <c r="K95" s="38">
        <v>585937.48</v>
      </c>
    </row>
    <row r="96" spans="1:11">
      <c r="A96" s="39" t="s">
        <v>46</v>
      </c>
      <c r="B96" s="39" t="s">
        <v>28</v>
      </c>
      <c r="C96" s="39" t="s">
        <v>17</v>
      </c>
      <c r="D96" s="39">
        <v>0</v>
      </c>
      <c r="E96" s="39">
        <v>0</v>
      </c>
      <c r="F96" s="39">
        <v>0</v>
      </c>
      <c r="G96" s="39">
        <v>0</v>
      </c>
      <c r="H96" s="39">
        <v>0</v>
      </c>
      <c r="I96" s="39">
        <v>0</v>
      </c>
      <c r="J96" s="39">
        <v>0</v>
      </c>
      <c r="K96" s="40">
        <v>753473.55</v>
      </c>
    </row>
    <row r="97" spans="1:11">
      <c r="A97" s="36" t="s">
        <v>46</v>
      </c>
      <c r="B97" s="36" t="s">
        <v>28</v>
      </c>
      <c r="C97" s="36" t="s">
        <v>17</v>
      </c>
      <c r="D97" s="36">
        <v>0</v>
      </c>
      <c r="E97" s="36">
        <v>0</v>
      </c>
      <c r="F97" s="36">
        <v>0</v>
      </c>
      <c r="G97" s="36">
        <v>0</v>
      </c>
      <c r="H97" s="36">
        <v>0</v>
      </c>
      <c r="I97" s="36">
        <v>0</v>
      </c>
      <c r="J97" s="36">
        <v>0</v>
      </c>
      <c r="K97" s="38">
        <v>838250.32</v>
      </c>
    </row>
    <row r="98" spans="1:11">
      <c r="A98" s="39" t="s">
        <v>46</v>
      </c>
      <c r="B98" s="39" t="s">
        <v>28</v>
      </c>
      <c r="C98" s="39" t="s">
        <v>17</v>
      </c>
      <c r="D98" s="39">
        <v>0</v>
      </c>
      <c r="E98" s="39">
        <v>0</v>
      </c>
      <c r="F98" s="39">
        <v>0</v>
      </c>
      <c r="G98" s="39">
        <v>0</v>
      </c>
      <c r="H98" s="39">
        <v>0</v>
      </c>
      <c r="I98" s="39">
        <v>0</v>
      </c>
      <c r="J98" s="39">
        <v>0</v>
      </c>
      <c r="K98" s="40">
        <v>607898.12</v>
      </c>
    </row>
    <row r="99" spans="1:11">
      <c r="A99" s="36" t="s">
        <v>47</v>
      </c>
      <c r="B99" s="36" t="s">
        <v>28</v>
      </c>
      <c r="C99" s="36" t="s">
        <v>29</v>
      </c>
      <c r="D99" s="36">
        <v>0</v>
      </c>
      <c r="E99" s="36">
        <v>0</v>
      </c>
      <c r="F99" s="36">
        <v>0</v>
      </c>
      <c r="G99" s="36">
        <v>0</v>
      </c>
      <c r="H99" s="36">
        <v>0</v>
      </c>
      <c r="I99" s="41">
        <v>1</v>
      </c>
      <c r="J99" s="36">
        <v>0</v>
      </c>
      <c r="K99" s="38">
        <v>691113.62</v>
      </c>
    </row>
    <row r="100" spans="1:11">
      <c r="A100" s="39" t="s">
        <v>47</v>
      </c>
      <c r="B100" s="39" t="s">
        <v>28</v>
      </c>
      <c r="C100" s="39" t="s">
        <v>29</v>
      </c>
      <c r="D100" s="39">
        <v>0</v>
      </c>
      <c r="E100" s="39">
        <v>0</v>
      </c>
      <c r="F100" s="39">
        <v>0</v>
      </c>
      <c r="G100" s="39">
        <v>0</v>
      </c>
      <c r="H100" s="39">
        <v>0</v>
      </c>
      <c r="I100" s="41">
        <v>1</v>
      </c>
      <c r="J100" s="39">
        <v>0</v>
      </c>
      <c r="K100" s="40">
        <v>735509.4</v>
      </c>
    </row>
    <row r="101" spans="1:11">
      <c r="A101" s="36" t="s">
        <v>47</v>
      </c>
      <c r="B101" s="36" t="s">
        <v>28</v>
      </c>
      <c r="C101" s="36" t="s">
        <v>29</v>
      </c>
      <c r="D101" s="36">
        <v>0</v>
      </c>
      <c r="E101" s="36">
        <v>0</v>
      </c>
      <c r="F101" s="36">
        <v>0</v>
      </c>
      <c r="G101" s="36">
        <v>0</v>
      </c>
      <c r="H101" s="36">
        <v>0</v>
      </c>
      <c r="I101" s="41">
        <v>1</v>
      </c>
      <c r="J101" s="36">
        <v>0</v>
      </c>
      <c r="K101" s="38">
        <v>605775.32999999996</v>
      </c>
    </row>
    <row r="102" spans="1:11">
      <c r="A102" s="39" t="s">
        <v>47</v>
      </c>
      <c r="B102" s="39" t="s">
        <v>28</v>
      </c>
      <c r="C102" s="39" t="s">
        <v>29</v>
      </c>
      <c r="D102" s="39">
        <v>0</v>
      </c>
      <c r="E102" s="39">
        <v>0</v>
      </c>
      <c r="F102" s="39">
        <v>0</v>
      </c>
      <c r="G102" s="39">
        <v>0</v>
      </c>
      <c r="H102" s="39">
        <v>0</v>
      </c>
      <c r="I102" s="41">
        <v>1</v>
      </c>
      <c r="J102" s="39">
        <v>0</v>
      </c>
      <c r="K102" s="40">
        <v>675177.68</v>
      </c>
    </row>
    <row r="103" spans="1:11">
      <c r="A103" s="36" t="s">
        <v>48</v>
      </c>
      <c r="B103" s="36" t="s">
        <v>16</v>
      </c>
      <c r="C103" s="36" t="s">
        <v>29</v>
      </c>
      <c r="D103" s="37">
        <v>1</v>
      </c>
      <c r="E103" s="36">
        <v>0</v>
      </c>
      <c r="F103" s="36">
        <v>0</v>
      </c>
      <c r="G103" s="36">
        <v>0</v>
      </c>
      <c r="H103" s="36">
        <v>0</v>
      </c>
      <c r="I103" s="41">
        <v>1</v>
      </c>
      <c r="J103" s="36">
        <v>0</v>
      </c>
      <c r="K103" s="38">
        <v>635181.35</v>
      </c>
    </row>
    <row r="104" spans="1:11">
      <c r="A104" s="39" t="s">
        <v>48</v>
      </c>
      <c r="B104" s="39" t="s">
        <v>16</v>
      </c>
      <c r="C104" s="39" t="s">
        <v>29</v>
      </c>
      <c r="D104" s="37">
        <v>1</v>
      </c>
      <c r="E104" s="39">
        <v>0</v>
      </c>
      <c r="F104" s="39">
        <v>0</v>
      </c>
      <c r="G104" s="39">
        <v>0</v>
      </c>
      <c r="H104" s="39">
        <v>0</v>
      </c>
      <c r="I104" s="41">
        <v>1</v>
      </c>
      <c r="J104" s="39">
        <v>0</v>
      </c>
      <c r="K104" s="40">
        <v>586626.93999999994</v>
      </c>
    </row>
    <row r="105" spans="1:11">
      <c r="A105" s="36" t="s">
        <v>48</v>
      </c>
      <c r="B105" s="36" t="s">
        <v>16</v>
      </c>
      <c r="C105" s="36" t="s">
        <v>29</v>
      </c>
      <c r="D105" s="37">
        <v>1</v>
      </c>
      <c r="E105" s="36">
        <v>0</v>
      </c>
      <c r="F105" s="36">
        <v>0</v>
      </c>
      <c r="G105" s="36">
        <v>0</v>
      </c>
      <c r="H105" s="36">
        <v>0</v>
      </c>
      <c r="I105" s="41">
        <v>1</v>
      </c>
      <c r="J105" s="36">
        <v>1</v>
      </c>
      <c r="K105" s="38">
        <v>740102.64</v>
      </c>
    </row>
    <row r="106" spans="1:11">
      <c r="A106" s="39" t="s">
        <v>48</v>
      </c>
      <c r="B106" s="39" t="s">
        <v>16</v>
      </c>
      <c r="C106" s="39" t="s">
        <v>29</v>
      </c>
      <c r="D106" s="37">
        <v>1</v>
      </c>
      <c r="E106" s="39">
        <v>0</v>
      </c>
      <c r="F106" s="39">
        <v>0</v>
      </c>
      <c r="G106" s="39">
        <v>0</v>
      </c>
      <c r="H106" s="39">
        <v>0</v>
      </c>
      <c r="I106" s="41">
        <v>1</v>
      </c>
      <c r="J106" s="39">
        <v>0</v>
      </c>
      <c r="K106" s="40">
        <v>625514.04</v>
      </c>
    </row>
    <row r="107" spans="1:11">
      <c r="A107" s="36" t="s">
        <v>49</v>
      </c>
      <c r="B107" s="36" t="s">
        <v>28</v>
      </c>
      <c r="C107" s="36" t="s">
        <v>19</v>
      </c>
      <c r="D107" s="36">
        <v>0</v>
      </c>
      <c r="E107" s="36">
        <v>0</v>
      </c>
      <c r="F107" s="36">
        <v>0</v>
      </c>
      <c r="G107" s="36">
        <v>0</v>
      </c>
      <c r="H107" s="41">
        <v>1</v>
      </c>
      <c r="I107" s="36">
        <v>0</v>
      </c>
      <c r="J107" s="36">
        <v>0</v>
      </c>
      <c r="K107" s="38">
        <v>727227.2</v>
      </c>
    </row>
    <row r="108" spans="1:11">
      <c r="A108" s="39" t="s">
        <v>49</v>
      </c>
      <c r="B108" s="39" t="s">
        <v>28</v>
      </c>
      <c r="C108" s="39" t="s">
        <v>19</v>
      </c>
      <c r="D108" s="39">
        <v>0</v>
      </c>
      <c r="E108" s="39">
        <v>0</v>
      </c>
      <c r="F108" s="39">
        <v>0</v>
      </c>
      <c r="G108" s="39">
        <v>0</v>
      </c>
      <c r="H108" s="41">
        <v>1</v>
      </c>
      <c r="I108" s="39">
        <v>0</v>
      </c>
      <c r="J108" s="39">
        <v>0</v>
      </c>
      <c r="K108" s="40">
        <v>783797.89</v>
      </c>
    </row>
    <row r="109" spans="1:11">
      <c r="A109" s="36" t="s">
        <v>49</v>
      </c>
      <c r="B109" s="36" t="s">
        <v>28</v>
      </c>
      <c r="C109" s="36" t="s">
        <v>19</v>
      </c>
      <c r="D109" s="36">
        <v>0</v>
      </c>
      <c r="E109" s="36">
        <v>0</v>
      </c>
      <c r="F109" s="36">
        <v>0</v>
      </c>
      <c r="G109" s="36">
        <v>0</v>
      </c>
      <c r="H109" s="41">
        <v>1</v>
      </c>
      <c r="I109" s="36">
        <v>0</v>
      </c>
      <c r="J109" s="36">
        <v>0</v>
      </c>
      <c r="K109" s="38">
        <v>795153.84</v>
      </c>
    </row>
    <row r="110" spans="1:11">
      <c r="A110" s="39" t="s">
        <v>49</v>
      </c>
      <c r="B110" s="39" t="s">
        <v>28</v>
      </c>
      <c r="C110" s="39" t="s">
        <v>19</v>
      </c>
      <c r="D110" s="39">
        <v>0</v>
      </c>
      <c r="E110" s="39">
        <v>0</v>
      </c>
      <c r="F110" s="39">
        <v>0</v>
      </c>
      <c r="G110" s="39">
        <v>0</v>
      </c>
      <c r="H110" s="41">
        <v>1</v>
      </c>
      <c r="I110" s="39">
        <v>0</v>
      </c>
      <c r="J110" s="39">
        <v>0</v>
      </c>
      <c r="K110" s="40">
        <v>665594.93999999994</v>
      </c>
    </row>
    <row r="111" spans="1:11">
      <c r="A111" s="36" t="s">
        <v>50</v>
      </c>
      <c r="B111" s="36" t="s">
        <v>16</v>
      </c>
      <c r="C111" s="36" t="s">
        <v>29</v>
      </c>
      <c r="D111" s="37">
        <v>1</v>
      </c>
      <c r="E111" s="36">
        <v>0</v>
      </c>
      <c r="F111" s="36">
        <v>0</v>
      </c>
      <c r="G111" s="36">
        <v>0</v>
      </c>
      <c r="H111" s="36">
        <v>0</v>
      </c>
      <c r="I111" s="41">
        <v>1</v>
      </c>
      <c r="J111" s="36">
        <v>1</v>
      </c>
      <c r="K111" s="38">
        <v>709478.39</v>
      </c>
    </row>
    <row r="112" spans="1:11">
      <c r="A112" s="39" t="s">
        <v>50</v>
      </c>
      <c r="B112" s="39" t="s">
        <v>16</v>
      </c>
      <c r="C112" s="39" t="s">
        <v>29</v>
      </c>
      <c r="D112" s="37">
        <v>1</v>
      </c>
      <c r="E112" s="39">
        <v>0</v>
      </c>
      <c r="F112" s="39">
        <v>0</v>
      </c>
      <c r="G112" s="39">
        <v>0</v>
      </c>
      <c r="H112" s="39">
        <v>0</v>
      </c>
      <c r="I112" s="41">
        <v>1</v>
      </c>
      <c r="J112" s="39">
        <v>0</v>
      </c>
      <c r="K112" s="40">
        <v>664162.49</v>
      </c>
    </row>
    <row r="113" spans="1:11">
      <c r="A113" s="36" t="s">
        <v>50</v>
      </c>
      <c r="B113" s="36" t="s">
        <v>16</v>
      </c>
      <c r="C113" s="36" t="s">
        <v>29</v>
      </c>
      <c r="D113" s="37">
        <v>1</v>
      </c>
      <c r="E113" s="36">
        <v>0</v>
      </c>
      <c r="F113" s="36">
        <v>0</v>
      </c>
      <c r="G113" s="36">
        <v>0</v>
      </c>
      <c r="H113" s="36">
        <v>0</v>
      </c>
      <c r="I113" s="41">
        <v>1</v>
      </c>
      <c r="J113" s="36">
        <v>0</v>
      </c>
      <c r="K113" s="38">
        <v>633494.21</v>
      </c>
    </row>
    <row r="114" spans="1:11">
      <c r="A114" s="39" t="s">
        <v>50</v>
      </c>
      <c r="B114" s="39" t="s">
        <v>16</v>
      </c>
      <c r="C114" s="39" t="s">
        <v>29</v>
      </c>
      <c r="D114" s="37">
        <v>1</v>
      </c>
      <c r="E114" s="39">
        <v>0</v>
      </c>
      <c r="F114" s="39">
        <v>0</v>
      </c>
      <c r="G114" s="39">
        <v>0</v>
      </c>
      <c r="H114" s="39">
        <v>0</v>
      </c>
      <c r="I114" s="41">
        <v>1</v>
      </c>
      <c r="J114" s="39">
        <v>0</v>
      </c>
      <c r="K114" s="40">
        <v>713611.16</v>
      </c>
    </row>
    <row r="115" spans="1:11">
      <c r="A115" s="36" t="s">
        <v>51</v>
      </c>
      <c r="B115" s="36" t="s">
        <v>28</v>
      </c>
      <c r="C115" s="36" t="s">
        <v>29</v>
      </c>
      <c r="D115" s="36">
        <v>0</v>
      </c>
      <c r="E115" s="36">
        <v>0</v>
      </c>
      <c r="F115" s="36">
        <v>0</v>
      </c>
      <c r="G115" s="36">
        <v>0</v>
      </c>
      <c r="H115" s="36">
        <v>0</v>
      </c>
      <c r="I115" s="41">
        <v>1</v>
      </c>
      <c r="J115" s="36">
        <v>0</v>
      </c>
      <c r="K115" s="38">
        <v>778397.97</v>
      </c>
    </row>
    <row r="116" spans="1:11">
      <c r="A116" s="39" t="s">
        <v>51</v>
      </c>
      <c r="B116" s="39" t="s">
        <v>28</v>
      </c>
      <c r="C116" s="39" t="s">
        <v>29</v>
      </c>
      <c r="D116" s="39">
        <v>0</v>
      </c>
      <c r="E116" s="39">
        <v>0</v>
      </c>
      <c r="F116" s="39">
        <v>0</v>
      </c>
      <c r="G116" s="39">
        <v>0</v>
      </c>
      <c r="H116" s="39">
        <v>0</v>
      </c>
      <c r="I116" s="41">
        <v>1</v>
      </c>
      <c r="J116" s="39">
        <v>0</v>
      </c>
      <c r="K116" s="40">
        <v>873380.02</v>
      </c>
    </row>
    <row r="117" spans="1:11">
      <c r="A117" s="36" t="s">
        <v>51</v>
      </c>
      <c r="B117" s="36" t="s">
        <v>28</v>
      </c>
      <c r="C117" s="36" t="s">
        <v>29</v>
      </c>
      <c r="D117" s="36">
        <v>0</v>
      </c>
      <c r="E117" s="36">
        <v>0</v>
      </c>
      <c r="F117" s="36">
        <v>0</v>
      </c>
      <c r="G117" s="36">
        <v>0</v>
      </c>
      <c r="H117" s="36">
        <v>0</v>
      </c>
      <c r="I117" s="41">
        <v>1</v>
      </c>
      <c r="J117" s="36">
        <v>0</v>
      </c>
      <c r="K117" s="38">
        <v>697287.9</v>
      </c>
    </row>
    <row r="118" spans="1:11">
      <c r="A118" s="39" t="s">
        <v>51</v>
      </c>
      <c r="B118" s="39" t="s">
        <v>28</v>
      </c>
      <c r="C118" s="39" t="s">
        <v>29</v>
      </c>
      <c r="D118" s="39">
        <v>0</v>
      </c>
      <c r="E118" s="39">
        <v>0</v>
      </c>
      <c r="F118" s="39">
        <v>0</v>
      </c>
      <c r="G118" s="39">
        <v>0</v>
      </c>
      <c r="H118" s="39">
        <v>0</v>
      </c>
      <c r="I118" s="41">
        <v>1</v>
      </c>
      <c r="J118" s="39">
        <v>0</v>
      </c>
      <c r="K118" s="40">
        <v>718074.79</v>
      </c>
    </row>
    <row r="119" spans="1:11">
      <c r="A119" s="36" t="s">
        <v>52</v>
      </c>
      <c r="B119" s="36" t="s">
        <v>28</v>
      </c>
      <c r="C119" s="36" t="s">
        <v>17</v>
      </c>
      <c r="D119" s="36">
        <v>0</v>
      </c>
      <c r="E119" s="36">
        <v>0</v>
      </c>
      <c r="F119" s="36">
        <v>0</v>
      </c>
      <c r="G119" s="36">
        <v>0</v>
      </c>
      <c r="H119" s="36">
        <v>0</v>
      </c>
      <c r="I119" s="36">
        <v>0</v>
      </c>
      <c r="J119" s="36">
        <v>1</v>
      </c>
      <c r="K119" s="38">
        <v>714942.43</v>
      </c>
    </row>
    <row r="120" spans="1:11">
      <c r="A120" s="39" t="s">
        <v>52</v>
      </c>
      <c r="B120" s="39" t="s">
        <v>28</v>
      </c>
      <c r="C120" s="39" t="s">
        <v>17</v>
      </c>
      <c r="D120" s="39">
        <v>0</v>
      </c>
      <c r="E120" s="39">
        <v>0</v>
      </c>
      <c r="F120" s="39">
        <v>0</v>
      </c>
      <c r="G120" s="39">
        <v>0</v>
      </c>
      <c r="H120" s="39">
        <v>0</v>
      </c>
      <c r="I120" s="39">
        <v>0</v>
      </c>
      <c r="J120" s="39">
        <v>0</v>
      </c>
      <c r="K120" s="40">
        <v>820519.04</v>
      </c>
    </row>
    <row r="121" spans="1:11">
      <c r="A121" s="36" t="s">
        <v>52</v>
      </c>
      <c r="B121" s="36" t="s">
        <v>28</v>
      </c>
      <c r="C121" s="36" t="s">
        <v>17</v>
      </c>
      <c r="D121" s="36">
        <v>0</v>
      </c>
      <c r="E121" s="36">
        <v>0</v>
      </c>
      <c r="F121" s="36">
        <v>0</v>
      </c>
      <c r="G121" s="36">
        <v>0</v>
      </c>
      <c r="H121" s="36">
        <v>0</v>
      </c>
      <c r="I121" s="36">
        <v>0</v>
      </c>
      <c r="J121" s="36">
        <v>0</v>
      </c>
      <c r="K121" s="38">
        <v>684217.32</v>
      </c>
    </row>
    <row r="122" spans="1:11">
      <c r="A122" s="39" t="s">
        <v>52</v>
      </c>
      <c r="B122" s="39" t="s">
        <v>28</v>
      </c>
      <c r="C122" s="39" t="s">
        <v>17</v>
      </c>
      <c r="D122" s="39">
        <v>0</v>
      </c>
      <c r="E122" s="39">
        <v>0</v>
      </c>
      <c r="F122" s="39">
        <v>0</v>
      </c>
      <c r="G122" s="39">
        <v>0</v>
      </c>
      <c r="H122" s="39">
        <v>0</v>
      </c>
      <c r="I122" s="39">
        <v>0</v>
      </c>
      <c r="J122" s="39">
        <v>0</v>
      </c>
      <c r="K122" s="40">
        <v>735480.19</v>
      </c>
    </row>
    <row r="123" spans="1:11">
      <c r="A123" s="36" t="s">
        <v>53</v>
      </c>
      <c r="B123" s="36" t="s">
        <v>21</v>
      </c>
      <c r="C123" s="36" t="s">
        <v>19</v>
      </c>
      <c r="D123" s="36">
        <v>0</v>
      </c>
      <c r="E123" s="37">
        <v>1</v>
      </c>
      <c r="F123" s="36">
        <v>0</v>
      </c>
      <c r="G123" s="36">
        <v>0</v>
      </c>
      <c r="H123" s="41">
        <v>1</v>
      </c>
      <c r="I123" s="36">
        <v>0</v>
      </c>
      <c r="J123" s="36">
        <v>0</v>
      </c>
      <c r="K123" s="38">
        <v>509484.81</v>
      </c>
    </row>
    <row r="124" spans="1:11">
      <c r="A124" s="39" t="s">
        <v>53</v>
      </c>
      <c r="B124" s="39" t="s">
        <v>21</v>
      </c>
      <c r="C124" s="39" t="s">
        <v>19</v>
      </c>
      <c r="D124" s="39">
        <v>0</v>
      </c>
      <c r="E124" s="37">
        <v>1</v>
      </c>
      <c r="F124" s="39">
        <v>0</v>
      </c>
      <c r="G124" s="39">
        <v>0</v>
      </c>
      <c r="H124" s="41">
        <v>1</v>
      </c>
      <c r="I124" s="39">
        <v>0</v>
      </c>
      <c r="J124" s="39">
        <v>0</v>
      </c>
      <c r="K124" s="40">
        <v>654317.09</v>
      </c>
    </row>
    <row r="125" spans="1:11">
      <c r="A125" s="36" t="s">
        <v>53</v>
      </c>
      <c r="B125" s="36" t="s">
        <v>21</v>
      </c>
      <c r="C125" s="36" t="s">
        <v>19</v>
      </c>
      <c r="D125" s="36">
        <v>0</v>
      </c>
      <c r="E125" s="37">
        <v>1</v>
      </c>
      <c r="F125" s="36">
        <v>0</v>
      </c>
      <c r="G125" s="36">
        <v>0</v>
      </c>
      <c r="H125" s="41">
        <v>1</v>
      </c>
      <c r="I125" s="36">
        <v>0</v>
      </c>
      <c r="J125" s="36">
        <v>0</v>
      </c>
      <c r="K125" s="38">
        <v>557487.26</v>
      </c>
    </row>
    <row r="126" spans="1:11">
      <c r="A126" s="39" t="s">
        <v>53</v>
      </c>
      <c r="B126" s="39" t="s">
        <v>21</v>
      </c>
      <c r="C126" s="39" t="s">
        <v>19</v>
      </c>
      <c r="D126" s="39">
        <v>0</v>
      </c>
      <c r="E126" s="37">
        <v>1</v>
      </c>
      <c r="F126" s="39">
        <v>0</v>
      </c>
      <c r="G126" s="39">
        <v>0</v>
      </c>
      <c r="H126" s="41">
        <v>1</v>
      </c>
      <c r="I126" s="39">
        <v>0</v>
      </c>
      <c r="J126" s="39">
        <v>0</v>
      </c>
      <c r="K126" s="40">
        <v>441275.42</v>
      </c>
    </row>
    <row r="127" spans="1:11">
      <c r="A127" s="36" t="s">
        <v>54</v>
      </c>
      <c r="B127" s="36" t="s">
        <v>25</v>
      </c>
      <c r="C127" s="36" t="s">
        <v>19</v>
      </c>
      <c r="D127" s="36">
        <v>0</v>
      </c>
      <c r="E127" s="36">
        <v>0</v>
      </c>
      <c r="F127" s="37">
        <v>1</v>
      </c>
      <c r="G127" s="36">
        <v>0</v>
      </c>
      <c r="H127" s="41">
        <v>1</v>
      </c>
      <c r="I127" s="36">
        <v>0</v>
      </c>
      <c r="J127" s="36">
        <v>1</v>
      </c>
      <c r="K127" s="38">
        <v>914544.17</v>
      </c>
    </row>
    <row r="128" spans="1:11">
      <c r="A128" s="39" t="s">
        <v>54</v>
      </c>
      <c r="B128" s="39" t="s">
        <v>25</v>
      </c>
      <c r="C128" s="39" t="s">
        <v>19</v>
      </c>
      <c r="D128" s="39">
        <v>0</v>
      </c>
      <c r="E128" s="39">
        <v>0</v>
      </c>
      <c r="F128" s="37">
        <v>1</v>
      </c>
      <c r="G128" s="39">
        <v>0</v>
      </c>
      <c r="H128" s="41">
        <v>1</v>
      </c>
      <c r="I128" s="39">
        <v>0</v>
      </c>
      <c r="J128" s="39">
        <v>0</v>
      </c>
      <c r="K128" s="40">
        <v>842439.67</v>
      </c>
    </row>
    <row r="129" spans="1:11">
      <c r="A129" s="36" t="s">
        <v>54</v>
      </c>
      <c r="B129" s="36" t="s">
        <v>25</v>
      </c>
      <c r="C129" s="36" t="s">
        <v>19</v>
      </c>
      <c r="D129" s="36">
        <v>0</v>
      </c>
      <c r="E129" s="36">
        <v>0</v>
      </c>
      <c r="F129" s="37">
        <v>1</v>
      </c>
      <c r="G129" s="36">
        <v>0</v>
      </c>
      <c r="H129" s="41">
        <v>1</v>
      </c>
      <c r="I129" s="36">
        <v>0</v>
      </c>
      <c r="J129" s="36">
        <v>1</v>
      </c>
      <c r="K129" s="38">
        <v>842157.92</v>
      </c>
    </row>
    <row r="130" spans="1:11">
      <c r="A130" s="39" t="s">
        <v>54</v>
      </c>
      <c r="B130" s="39" t="s">
        <v>25</v>
      </c>
      <c r="C130" s="39" t="s">
        <v>19</v>
      </c>
      <c r="D130" s="39">
        <v>0</v>
      </c>
      <c r="E130" s="39">
        <v>0</v>
      </c>
      <c r="F130" s="37">
        <v>1</v>
      </c>
      <c r="G130" s="39">
        <v>0</v>
      </c>
      <c r="H130" s="41">
        <v>1</v>
      </c>
      <c r="I130" s="39">
        <v>0</v>
      </c>
      <c r="J130" s="39">
        <v>0</v>
      </c>
      <c r="K130" s="40">
        <v>697155.3</v>
      </c>
    </row>
    <row r="131" spans="1:11">
      <c r="A131" s="36" t="s">
        <v>55</v>
      </c>
      <c r="B131" s="36" t="s">
        <v>16</v>
      </c>
      <c r="C131" s="36" t="s">
        <v>19</v>
      </c>
      <c r="D131" s="37">
        <v>1</v>
      </c>
      <c r="E131" s="36">
        <v>0</v>
      </c>
      <c r="F131" s="36">
        <v>0</v>
      </c>
      <c r="G131" s="36">
        <v>0</v>
      </c>
      <c r="H131" s="41">
        <v>1</v>
      </c>
      <c r="I131" s="36">
        <v>0</v>
      </c>
      <c r="J131" s="36">
        <v>1</v>
      </c>
      <c r="K131" s="38">
        <v>849018.3</v>
      </c>
    </row>
    <row r="132" spans="1:11">
      <c r="A132" s="39" t="s">
        <v>55</v>
      </c>
      <c r="B132" s="39" t="s">
        <v>16</v>
      </c>
      <c r="C132" s="39" t="s">
        <v>19</v>
      </c>
      <c r="D132" s="37">
        <v>1</v>
      </c>
      <c r="E132" s="39">
        <v>0</v>
      </c>
      <c r="F132" s="39">
        <v>0</v>
      </c>
      <c r="G132" s="39">
        <v>0</v>
      </c>
      <c r="H132" s="41">
        <v>1</v>
      </c>
      <c r="I132" s="39">
        <v>0</v>
      </c>
      <c r="J132" s="39">
        <v>0</v>
      </c>
      <c r="K132" s="40">
        <v>801830.35</v>
      </c>
    </row>
    <row r="133" spans="1:11">
      <c r="A133" s="36" t="s">
        <v>55</v>
      </c>
      <c r="B133" s="36" t="s">
        <v>16</v>
      </c>
      <c r="C133" s="36" t="s">
        <v>19</v>
      </c>
      <c r="D133" s="37">
        <v>1</v>
      </c>
      <c r="E133" s="36">
        <v>0</v>
      </c>
      <c r="F133" s="36">
        <v>0</v>
      </c>
      <c r="G133" s="36">
        <v>0</v>
      </c>
      <c r="H133" s="41">
        <v>1</v>
      </c>
      <c r="I133" s="36">
        <v>0</v>
      </c>
      <c r="J133" s="36">
        <v>1</v>
      </c>
      <c r="K133" s="38">
        <v>725235.28</v>
      </c>
    </row>
    <row r="134" spans="1:11">
      <c r="A134" s="39" t="s">
        <v>55</v>
      </c>
      <c r="B134" s="39" t="s">
        <v>16</v>
      </c>
      <c r="C134" s="39" t="s">
        <v>19</v>
      </c>
      <c r="D134" s="37">
        <v>1</v>
      </c>
      <c r="E134" s="39">
        <v>0</v>
      </c>
      <c r="F134" s="39">
        <v>0</v>
      </c>
      <c r="G134" s="39">
        <v>0</v>
      </c>
      <c r="H134" s="41">
        <v>1</v>
      </c>
      <c r="I134" s="39">
        <v>0</v>
      </c>
      <c r="J134" s="39">
        <v>0</v>
      </c>
      <c r="K134" s="40">
        <v>811452.72</v>
      </c>
    </row>
    <row r="135" spans="1:11">
      <c r="A135" s="36" t="s">
        <v>56</v>
      </c>
      <c r="B135" s="36" t="s">
        <v>21</v>
      </c>
      <c r="C135" s="36" t="s">
        <v>19</v>
      </c>
      <c r="D135" s="36">
        <v>0</v>
      </c>
      <c r="E135" s="37">
        <v>1</v>
      </c>
      <c r="F135" s="36">
        <v>0</v>
      </c>
      <c r="G135" s="36">
        <v>0</v>
      </c>
      <c r="H135" s="41">
        <v>1</v>
      </c>
      <c r="I135" s="36">
        <v>0</v>
      </c>
      <c r="J135" s="36">
        <v>0</v>
      </c>
      <c r="K135" s="38">
        <v>527300.13</v>
      </c>
    </row>
    <row r="136" spans="1:11">
      <c r="A136" s="39" t="s">
        <v>56</v>
      </c>
      <c r="B136" s="39" t="s">
        <v>21</v>
      </c>
      <c r="C136" s="39" t="s">
        <v>19</v>
      </c>
      <c r="D136" s="39">
        <v>0</v>
      </c>
      <c r="E136" s="37">
        <v>1</v>
      </c>
      <c r="F136" s="39">
        <v>0</v>
      </c>
      <c r="G136" s="39">
        <v>0</v>
      </c>
      <c r="H136" s="41">
        <v>1</v>
      </c>
      <c r="I136" s="39">
        <v>0</v>
      </c>
      <c r="J136" s="39">
        <v>0</v>
      </c>
      <c r="K136" s="40">
        <v>400831.65</v>
      </c>
    </row>
    <row r="137" spans="1:11">
      <c r="A137" s="36" t="s">
        <v>56</v>
      </c>
      <c r="B137" s="36" t="s">
        <v>21</v>
      </c>
      <c r="C137" s="36" t="s">
        <v>19</v>
      </c>
      <c r="D137" s="36">
        <v>0</v>
      </c>
      <c r="E137" s="37">
        <v>1</v>
      </c>
      <c r="F137" s="36">
        <v>0</v>
      </c>
      <c r="G137" s="36">
        <v>0</v>
      </c>
      <c r="H137" s="41">
        <v>1</v>
      </c>
      <c r="I137" s="36">
        <v>0</v>
      </c>
      <c r="J137" s="36">
        <v>1</v>
      </c>
      <c r="K137" s="38">
        <v>593247.25</v>
      </c>
    </row>
    <row r="138" spans="1:11">
      <c r="A138" s="39" t="s">
        <v>56</v>
      </c>
      <c r="B138" s="39" t="s">
        <v>21</v>
      </c>
      <c r="C138" s="39" t="s">
        <v>19</v>
      </c>
      <c r="D138" s="39">
        <v>0</v>
      </c>
      <c r="E138" s="37">
        <v>1</v>
      </c>
      <c r="F138" s="39">
        <v>0</v>
      </c>
      <c r="G138" s="39">
        <v>0</v>
      </c>
      <c r="H138" s="41">
        <v>1</v>
      </c>
      <c r="I138" s="39">
        <v>0</v>
      </c>
      <c r="J138" s="39">
        <v>0</v>
      </c>
      <c r="K138" s="40">
        <v>529075.94999999995</v>
      </c>
    </row>
    <row r="139" spans="1:11">
      <c r="A139" s="36" t="s">
        <v>57</v>
      </c>
      <c r="B139" s="36" t="s">
        <v>25</v>
      </c>
      <c r="C139" s="36" t="s">
        <v>17</v>
      </c>
      <c r="D139" s="36">
        <v>0</v>
      </c>
      <c r="E139" s="36">
        <v>0</v>
      </c>
      <c r="F139" s="37">
        <v>1</v>
      </c>
      <c r="G139" s="36">
        <v>0</v>
      </c>
      <c r="H139" s="36">
        <v>0</v>
      </c>
      <c r="I139" s="36">
        <v>0</v>
      </c>
      <c r="J139" s="36">
        <v>0</v>
      </c>
      <c r="K139" s="38">
        <v>633638.03</v>
      </c>
    </row>
    <row r="140" spans="1:11">
      <c r="A140" s="39" t="s">
        <v>57</v>
      </c>
      <c r="B140" s="39" t="s">
        <v>25</v>
      </c>
      <c r="C140" s="39" t="s">
        <v>17</v>
      </c>
      <c r="D140" s="39">
        <v>0</v>
      </c>
      <c r="E140" s="39">
        <v>0</v>
      </c>
      <c r="F140" s="37">
        <v>1</v>
      </c>
      <c r="G140" s="39">
        <v>0</v>
      </c>
      <c r="H140" s="39">
        <v>0</v>
      </c>
      <c r="I140" s="39">
        <v>0</v>
      </c>
      <c r="J140" s="39">
        <v>0</v>
      </c>
      <c r="K140" s="40">
        <v>743348.84</v>
      </c>
    </row>
    <row r="141" spans="1:11">
      <c r="A141" s="36" t="s">
        <v>57</v>
      </c>
      <c r="B141" s="36" t="s">
        <v>25</v>
      </c>
      <c r="C141" s="36" t="s">
        <v>17</v>
      </c>
      <c r="D141" s="36">
        <v>0</v>
      </c>
      <c r="E141" s="36">
        <v>0</v>
      </c>
      <c r="F141" s="37">
        <v>1</v>
      </c>
      <c r="G141" s="36">
        <v>0</v>
      </c>
      <c r="H141" s="36">
        <v>0</v>
      </c>
      <c r="I141" s="36">
        <v>0</v>
      </c>
      <c r="J141" s="36">
        <v>1</v>
      </c>
      <c r="K141" s="38">
        <v>758827.64</v>
      </c>
    </row>
    <row r="142" spans="1:11">
      <c r="A142" s="39" t="s">
        <v>57</v>
      </c>
      <c r="B142" s="39" t="s">
        <v>25</v>
      </c>
      <c r="C142" s="39" t="s">
        <v>17</v>
      </c>
      <c r="D142" s="39">
        <v>0</v>
      </c>
      <c r="E142" s="39">
        <v>0</v>
      </c>
      <c r="F142" s="37">
        <v>1</v>
      </c>
      <c r="G142" s="39">
        <v>0</v>
      </c>
      <c r="H142" s="39">
        <v>0</v>
      </c>
      <c r="I142" s="39">
        <v>0</v>
      </c>
      <c r="J142" s="39">
        <v>0</v>
      </c>
      <c r="K142" s="40">
        <v>646559.71</v>
      </c>
    </row>
    <row r="143" spans="1:11">
      <c r="A143" s="36" t="s">
        <v>58</v>
      </c>
      <c r="B143" s="36" t="s">
        <v>28</v>
      </c>
      <c r="C143" s="36" t="s">
        <v>19</v>
      </c>
      <c r="D143" s="36">
        <v>0</v>
      </c>
      <c r="E143" s="36">
        <v>0</v>
      </c>
      <c r="F143" s="36">
        <v>0</v>
      </c>
      <c r="G143" s="36">
        <v>0</v>
      </c>
      <c r="H143" s="41">
        <v>1</v>
      </c>
      <c r="I143" s="36">
        <v>0</v>
      </c>
      <c r="J143" s="36">
        <v>0</v>
      </c>
      <c r="K143" s="38">
        <v>715890.53</v>
      </c>
    </row>
    <row r="144" spans="1:11">
      <c r="A144" s="39" t="s">
        <v>58</v>
      </c>
      <c r="B144" s="39" t="s">
        <v>28</v>
      </c>
      <c r="C144" s="39" t="s">
        <v>19</v>
      </c>
      <c r="D144" s="39">
        <v>0</v>
      </c>
      <c r="E144" s="39">
        <v>0</v>
      </c>
      <c r="F144" s="39">
        <v>0</v>
      </c>
      <c r="G144" s="39">
        <v>0</v>
      </c>
      <c r="H144" s="41">
        <v>1</v>
      </c>
      <c r="I144" s="39">
        <v>0</v>
      </c>
      <c r="J144" s="39">
        <v>0</v>
      </c>
      <c r="K144" s="40">
        <v>715097.57</v>
      </c>
    </row>
    <row r="145" spans="1:11">
      <c r="A145" s="36" t="s">
        <v>58</v>
      </c>
      <c r="B145" s="36" t="s">
        <v>28</v>
      </c>
      <c r="C145" s="36" t="s">
        <v>19</v>
      </c>
      <c r="D145" s="36">
        <v>0</v>
      </c>
      <c r="E145" s="36">
        <v>0</v>
      </c>
      <c r="F145" s="36">
        <v>0</v>
      </c>
      <c r="G145" s="36">
        <v>0</v>
      </c>
      <c r="H145" s="41">
        <v>1</v>
      </c>
      <c r="I145" s="36">
        <v>0</v>
      </c>
      <c r="J145" s="36">
        <v>0</v>
      </c>
      <c r="K145" s="38">
        <v>682639.28</v>
      </c>
    </row>
    <row r="146" spans="1:11">
      <c r="A146" s="39" t="s">
        <v>58</v>
      </c>
      <c r="B146" s="39" t="s">
        <v>28</v>
      </c>
      <c r="C146" s="39" t="s">
        <v>19</v>
      </c>
      <c r="D146" s="39">
        <v>0</v>
      </c>
      <c r="E146" s="39">
        <v>0</v>
      </c>
      <c r="F146" s="39">
        <v>0</v>
      </c>
      <c r="G146" s="39">
        <v>0</v>
      </c>
      <c r="H146" s="41">
        <v>1</v>
      </c>
      <c r="I146" s="39">
        <v>0</v>
      </c>
      <c r="J146" s="39">
        <v>0</v>
      </c>
      <c r="K146" s="40">
        <v>695098.51</v>
      </c>
    </row>
    <row r="147" spans="1:11">
      <c r="A147" s="36" t="s">
        <v>59</v>
      </c>
      <c r="B147" s="36" t="s">
        <v>21</v>
      </c>
      <c r="C147" s="36" t="s">
        <v>17</v>
      </c>
      <c r="D147" s="36">
        <v>0</v>
      </c>
      <c r="E147" s="37">
        <v>1</v>
      </c>
      <c r="F147" s="36">
        <v>0</v>
      </c>
      <c r="G147" s="36">
        <v>0</v>
      </c>
      <c r="H147" s="36">
        <v>0</v>
      </c>
      <c r="I147" s="36">
        <v>0</v>
      </c>
      <c r="J147" s="36">
        <v>0</v>
      </c>
      <c r="K147" s="38">
        <v>577732.56999999995</v>
      </c>
    </row>
    <row r="148" spans="1:11">
      <c r="A148" s="39" t="s">
        <v>59</v>
      </c>
      <c r="B148" s="39" t="s">
        <v>21</v>
      </c>
      <c r="C148" s="39" t="s">
        <v>17</v>
      </c>
      <c r="D148" s="39">
        <v>0</v>
      </c>
      <c r="E148" s="37">
        <v>1</v>
      </c>
      <c r="F148" s="39">
        <v>0</v>
      </c>
      <c r="G148" s="39">
        <v>0</v>
      </c>
      <c r="H148" s="39">
        <v>0</v>
      </c>
      <c r="I148" s="39">
        <v>0</v>
      </c>
      <c r="J148" s="39">
        <v>0</v>
      </c>
      <c r="K148" s="40">
        <v>537058.32999999996</v>
      </c>
    </row>
    <row r="149" spans="1:11">
      <c r="A149" s="36" t="s">
        <v>59</v>
      </c>
      <c r="B149" s="36" t="s">
        <v>21</v>
      </c>
      <c r="C149" s="36" t="s">
        <v>17</v>
      </c>
      <c r="D149" s="36">
        <v>0</v>
      </c>
      <c r="E149" s="37">
        <v>1</v>
      </c>
      <c r="F149" s="36">
        <v>0</v>
      </c>
      <c r="G149" s="36">
        <v>0</v>
      </c>
      <c r="H149" s="36">
        <v>0</v>
      </c>
      <c r="I149" s="36">
        <v>0</v>
      </c>
      <c r="J149" s="36">
        <v>0</v>
      </c>
      <c r="K149" s="38">
        <v>601568.87</v>
      </c>
    </row>
    <row r="150" spans="1:11">
      <c r="A150" s="39" t="s">
        <v>59</v>
      </c>
      <c r="B150" s="39" t="s">
        <v>21</v>
      </c>
      <c r="C150" s="39" t="s">
        <v>17</v>
      </c>
      <c r="D150" s="39">
        <v>0</v>
      </c>
      <c r="E150" s="37">
        <v>1</v>
      </c>
      <c r="F150" s="39">
        <v>0</v>
      </c>
      <c r="G150" s="39">
        <v>0</v>
      </c>
      <c r="H150" s="39">
        <v>0</v>
      </c>
      <c r="I150" s="39">
        <v>0</v>
      </c>
      <c r="J150" s="39">
        <v>0</v>
      </c>
      <c r="K150" s="40">
        <v>570964.84</v>
      </c>
    </row>
    <row r="151" spans="1:11">
      <c r="A151" s="36" t="s">
        <v>60</v>
      </c>
      <c r="B151" s="36" t="s">
        <v>25</v>
      </c>
      <c r="C151" s="36" t="s">
        <v>29</v>
      </c>
      <c r="D151" s="36">
        <v>0</v>
      </c>
      <c r="E151" s="36">
        <v>0</v>
      </c>
      <c r="F151" s="37">
        <v>1</v>
      </c>
      <c r="G151" s="36">
        <v>0</v>
      </c>
      <c r="H151" s="36">
        <v>0</v>
      </c>
      <c r="I151" s="41">
        <v>1</v>
      </c>
      <c r="J151" s="36">
        <v>0</v>
      </c>
      <c r="K151" s="38">
        <v>614024.91</v>
      </c>
    </row>
    <row r="152" spans="1:11">
      <c r="A152" s="39" t="s">
        <v>60</v>
      </c>
      <c r="B152" s="39" t="s">
        <v>25</v>
      </c>
      <c r="C152" s="39" t="s">
        <v>29</v>
      </c>
      <c r="D152" s="39">
        <v>0</v>
      </c>
      <c r="E152" s="39">
        <v>0</v>
      </c>
      <c r="F152" s="37">
        <v>1</v>
      </c>
      <c r="G152" s="39">
        <v>0</v>
      </c>
      <c r="H152" s="39">
        <v>0</v>
      </c>
      <c r="I152" s="41">
        <v>1</v>
      </c>
      <c r="J152" s="39">
        <v>0</v>
      </c>
      <c r="K152" s="40">
        <v>712868.35</v>
      </c>
    </row>
    <row r="153" spans="1:11">
      <c r="A153" s="36" t="s">
        <v>60</v>
      </c>
      <c r="B153" s="36" t="s">
        <v>25</v>
      </c>
      <c r="C153" s="36" t="s">
        <v>29</v>
      </c>
      <c r="D153" s="36">
        <v>0</v>
      </c>
      <c r="E153" s="36">
        <v>0</v>
      </c>
      <c r="F153" s="37">
        <v>1</v>
      </c>
      <c r="G153" s="36">
        <v>0</v>
      </c>
      <c r="H153" s="36">
        <v>0</v>
      </c>
      <c r="I153" s="41">
        <v>1</v>
      </c>
      <c r="J153" s="36">
        <v>1</v>
      </c>
      <c r="K153" s="38">
        <v>696744.15</v>
      </c>
    </row>
    <row r="154" spans="1:11">
      <c r="A154" s="39" t="s">
        <v>60</v>
      </c>
      <c r="B154" s="39" t="s">
        <v>25</v>
      </c>
      <c r="C154" s="39" t="s">
        <v>29</v>
      </c>
      <c r="D154" s="39">
        <v>0</v>
      </c>
      <c r="E154" s="39">
        <v>0</v>
      </c>
      <c r="F154" s="37">
        <v>1</v>
      </c>
      <c r="G154" s="39">
        <v>0</v>
      </c>
      <c r="H154" s="39">
        <v>0</v>
      </c>
      <c r="I154" s="41">
        <v>1</v>
      </c>
      <c r="J154" s="39">
        <v>0</v>
      </c>
      <c r="K154" s="40">
        <v>725847.99</v>
      </c>
    </row>
    <row r="155" spans="1:11">
      <c r="A155" s="36" t="s">
        <v>61</v>
      </c>
      <c r="B155" s="36" t="s">
        <v>16</v>
      </c>
      <c r="C155" s="36" t="s">
        <v>19</v>
      </c>
      <c r="D155" s="37">
        <v>1</v>
      </c>
      <c r="E155" s="36">
        <v>0</v>
      </c>
      <c r="F155" s="36">
        <v>0</v>
      </c>
      <c r="G155" s="36">
        <v>0</v>
      </c>
      <c r="H155" s="41">
        <v>1</v>
      </c>
      <c r="I155" s="36">
        <v>0</v>
      </c>
      <c r="J155" s="36">
        <v>0</v>
      </c>
      <c r="K155" s="38">
        <v>785028.25</v>
      </c>
    </row>
    <row r="156" spans="1:11">
      <c r="A156" s="39" t="s">
        <v>61</v>
      </c>
      <c r="B156" s="39" t="s">
        <v>16</v>
      </c>
      <c r="C156" s="39" t="s">
        <v>19</v>
      </c>
      <c r="D156" s="37">
        <v>1</v>
      </c>
      <c r="E156" s="39">
        <v>0</v>
      </c>
      <c r="F156" s="39">
        <v>0</v>
      </c>
      <c r="G156" s="39">
        <v>0</v>
      </c>
      <c r="H156" s="41">
        <v>1</v>
      </c>
      <c r="I156" s="39">
        <v>0</v>
      </c>
      <c r="J156" s="39">
        <v>0</v>
      </c>
      <c r="K156" s="40">
        <v>698492.67</v>
      </c>
    </row>
    <row r="157" spans="1:11">
      <c r="A157" s="36" t="s">
        <v>61</v>
      </c>
      <c r="B157" s="36" t="s">
        <v>16</v>
      </c>
      <c r="C157" s="36" t="s">
        <v>19</v>
      </c>
      <c r="D157" s="37">
        <v>1</v>
      </c>
      <c r="E157" s="36">
        <v>0</v>
      </c>
      <c r="F157" s="36">
        <v>0</v>
      </c>
      <c r="G157" s="36">
        <v>0</v>
      </c>
      <c r="H157" s="41">
        <v>1</v>
      </c>
      <c r="I157" s="36">
        <v>0</v>
      </c>
      <c r="J157" s="36">
        <v>0</v>
      </c>
      <c r="K157" s="38">
        <v>685830.24</v>
      </c>
    </row>
    <row r="158" spans="1:11">
      <c r="A158" s="39" t="s">
        <v>61</v>
      </c>
      <c r="B158" s="39" t="s">
        <v>16</v>
      </c>
      <c r="C158" s="39" t="s">
        <v>19</v>
      </c>
      <c r="D158" s="37">
        <v>1</v>
      </c>
      <c r="E158" s="39">
        <v>0</v>
      </c>
      <c r="F158" s="39">
        <v>0</v>
      </c>
      <c r="G158" s="39">
        <v>0</v>
      </c>
      <c r="H158" s="41">
        <v>1</v>
      </c>
      <c r="I158" s="39">
        <v>0</v>
      </c>
      <c r="J158" s="39">
        <v>0</v>
      </c>
      <c r="K158" s="40">
        <v>702318.94</v>
      </c>
    </row>
    <row r="159" spans="1:11">
      <c r="A159" s="36" t="s">
        <v>62</v>
      </c>
      <c r="B159" s="36" t="s">
        <v>21</v>
      </c>
      <c r="C159" s="36" t="s">
        <v>29</v>
      </c>
      <c r="D159" s="36">
        <v>0</v>
      </c>
      <c r="E159" s="37">
        <v>1</v>
      </c>
      <c r="F159" s="36">
        <v>0</v>
      </c>
      <c r="G159" s="36">
        <v>0</v>
      </c>
      <c r="H159" s="36">
        <v>0</v>
      </c>
      <c r="I159" s="41">
        <v>1</v>
      </c>
      <c r="J159" s="36">
        <v>0</v>
      </c>
      <c r="K159" s="38">
        <v>700078.32</v>
      </c>
    </row>
    <row r="160" spans="1:11">
      <c r="A160" s="39" t="s">
        <v>62</v>
      </c>
      <c r="B160" s="39" t="s">
        <v>21</v>
      </c>
      <c r="C160" s="39" t="s">
        <v>29</v>
      </c>
      <c r="D160" s="39">
        <v>0</v>
      </c>
      <c r="E160" s="37">
        <v>1</v>
      </c>
      <c r="F160" s="39">
        <v>0</v>
      </c>
      <c r="G160" s="39">
        <v>0</v>
      </c>
      <c r="H160" s="39">
        <v>0</v>
      </c>
      <c r="I160" s="41">
        <v>1</v>
      </c>
      <c r="J160" s="39">
        <v>0</v>
      </c>
      <c r="K160" s="40">
        <v>602002.31999999995</v>
      </c>
    </row>
    <row r="161" spans="1:11">
      <c r="A161" s="36" t="s">
        <v>62</v>
      </c>
      <c r="B161" s="36" t="s">
        <v>21</v>
      </c>
      <c r="C161" s="36" t="s">
        <v>29</v>
      </c>
      <c r="D161" s="36">
        <v>0</v>
      </c>
      <c r="E161" s="37">
        <v>1</v>
      </c>
      <c r="F161" s="36">
        <v>0</v>
      </c>
      <c r="G161" s="36">
        <v>0</v>
      </c>
      <c r="H161" s="36">
        <v>0</v>
      </c>
      <c r="I161" s="41">
        <v>1</v>
      </c>
      <c r="J161" s="36">
        <v>0</v>
      </c>
      <c r="K161" s="38">
        <v>724216.07</v>
      </c>
    </row>
    <row r="162" spans="1:11">
      <c r="A162" s="39" t="s">
        <v>62</v>
      </c>
      <c r="B162" s="39" t="s">
        <v>21</v>
      </c>
      <c r="C162" s="39" t="s">
        <v>29</v>
      </c>
      <c r="D162" s="39">
        <v>0</v>
      </c>
      <c r="E162" s="37">
        <v>1</v>
      </c>
      <c r="F162" s="39">
        <v>0</v>
      </c>
      <c r="G162" s="39">
        <v>0</v>
      </c>
      <c r="H162" s="39">
        <v>0</v>
      </c>
      <c r="I162" s="41">
        <v>1</v>
      </c>
      <c r="J162" s="39">
        <v>0</v>
      </c>
      <c r="K162" s="40">
        <v>620973.03</v>
      </c>
    </row>
    <row r="163" spans="1:11">
      <c r="A163" s="36" t="s">
        <v>63</v>
      </c>
      <c r="B163" s="36" t="s">
        <v>25</v>
      </c>
      <c r="C163" s="36" t="s">
        <v>19</v>
      </c>
      <c r="D163" s="36">
        <v>0</v>
      </c>
      <c r="E163" s="36">
        <v>0</v>
      </c>
      <c r="F163" s="37">
        <v>1</v>
      </c>
      <c r="G163" s="36">
        <v>0</v>
      </c>
      <c r="H163" s="41">
        <v>1</v>
      </c>
      <c r="I163" s="36">
        <v>0</v>
      </c>
      <c r="J163" s="36">
        <v>0</v>
      </c>
      <c r="K163" s="38">
        <v>650480.06000000006</v>
      </c>
    </row>
    <row r="164" spans="1:11">
      <c r="A164" s="39" t="s">
        <v>63</v>
      </c>
      <c r="B164" s="39" t="s">
        <v>25</v>
      </c>
      <c r="C164" s="39" t="s">
        <v>19</v>
      </c>
      <c r="D164" s="39">
        <v>0</v>
      </c>
      <c r="E164" s="39">
        <v>0</v>
      </c>
      <c r="F164" s="37">
        <v>1</v>
      </c>
      <c r="G164" s="39">
        <v>0</v>
      </c>
      <c r="H164" s="41">
        <v>1</v>
      </c>
      <c r="I164" s="39">
        <v>0</v>
      </c>
      <c r="J164" s="39">
        <v>0</v>
      </c>
      <c r="K164" s="40">
        <v>778298.88</v>
      </c>
    </row>
    <row r="165" spans="1:11">
      <c r="A165" s="36" t="s">
        <v>63</v>
      </c>
      <c r="B165" s="36" t="s">
        <v>25</v>
      </c>
      <c r="C165" s="36" t="s">
        <v>19</v>
      </c>
      <c r="D165" s="36">
        <v>0</v>
      </c>
      <c r="E165" s="36">
        <v>0</v>
      </c>
      <c r="F165" s="37">
        <v>1</v>
      </c>
      <c r="G165" s="36">
        <v>0</v>
      </c>
      <c r="H165" s="41">
        <v>1</v>
      </c>
      <c r="I165" s="36">
        <v>0</v>
      </c>
      <c r="J165" s="36">
        <v>0</v>
      </c>
      <c r="K165" s="38">
        <v>677096.71</v>
      </c>
    </row>
    <row r="166" spans="1:11">
      <c r="A166" s="39" t="s">
        <v>63</v>
      </c>
      <c r="B166" s="39" t="s">
        <v>25</v>
      </c>
      <c r="C166" s="39" t="s">
        <v>19</v>
      </c>
      <c r="D166" s="39">
        <v>0</v>
      </c>
      <c r="E166" s="39">
        <v>0</v>
      </c>
      <c r="F166" s="37">
        <v>1</v>
      </c>
      <c r="G166" s="39">
        <v>0</v>
      </c>
      <c r="H166" s="41">
        <v>1</v>
      </c>
      <c r="I166" s="39">
        <v>0</v>
      </c>
      <c r="J166" s="39">
        <v>0</v>
      </c>
      <c r="K166" s="40">
        <v>692008.64</v>
      </c>
    </row>
    <row r="167" spans="1:11">
      <c r="A167" s="36" t="s">
        <v>64</v>
      </c>
      <c r="B167" s="36" t="s">
        <v>21</v>
      </c>
      <c r="C167" s="36" t="s">
        <v>29</v>
      </c>
      <c r="D167" s="36">
        <v>0</v>
      </c>
      <c r="E167" s="37">
        <v>1</v>
      </c>
      <c r="F167" s="36">
        <v>0</v>
      </c>
      <c r="G167" s="36">
        <v>0</v>
      </c>
      <c r="H167" s="36">
        <v>0</v>
      </c>
      <c r="I167" s="41">
        <v>1</v>
      </c>
      <c r="J167" s="36">
        <v>1</v>
      </c>
      <c r="K167" s="38">
        <v>825797.91</v>
      </c>
    </row>
    <row r="168" spans="1:11">
      <c r="A168" s="39" t="s">
        <v>64</v>
      </c>
      <c r="B168" s="39" t="s">
        <v>21</v>
      </c>
      <c r="C168" s="39" t="s">
        <v>29</v>
      </c>
      <c r="D168" s="39">
        <v>0</v>
      </c>
      <c r="E168" s="37">
        <v>1</v>
      </c>
      <c r="F168" s="39">
        <v>0</v>
      </c>
      <c r="G168" s="39">
        <v>0</v>
      </c>
      <c r="H168" s="39">
        <v>0</v>
      </c>
      <c r="I168" s="41">
        <v>1</v>
      </c>
      <c r="J168" s="39">
        <v>0</v>
      </c>
      <c r="K168" s="40">
        <v>706285.52</v>
      </c>
    </row>
    <row r="169" spans="1:11">
      <c r="A169" s="36" t="s">
        <v>64</v>
      </c>
      <c r="B169" s="36" t="s">
        <v>21</v>
      </c>
      <c r="C169" s="36" t="s">
        <v>29</v>
      </c>
      <c r="D169" s="36">
        <v>0</v>
      </c>
      <c r="E169" s="37">
        <v>1</v>
      </c>
      <c r="F169" s="36">
        <v>0</v>
      </c>
      <c r="G169" s="36">
        <v>0</v>
      </c>
      <c r="H169" s="36">
        <v>0</v>
      </c>
      <c r="I169" s="41">
        <v>1</v>
      </c>
      <c r="J169" s="36">
        <v>0</v>
      </c>
      <c r="K169" s="38">
        <v>665534.69999999995</v>
      </c>
    </row>
    <row r="170" spans="1:11">
      <c r="A170" s="39" t="s">
        <v>64</v>
      </c>
      <c r="B170" s="39" t="s">
        <v>21</v>
      </c>
      <c r="C170" s="39" t="s">
        <v>29</v>
      </c>
      <c r="D170" s="39">
        <v>0</v>
      </c>
      <c r="E170" s="37">
        <v>1</v>
      </c>
      <c r="F170" s="39">
        <v>0</v>
      </c>
      <c r="G170" s="39">
        <v>0</v>
      </c>
      <c r="H170" s="39">
        <v>0</v>
      </c>
      <c r="I170" s="41">
        <v>1</v>
      </c>
      <c r="J170" s="39">
        <v>0</v>
      </c>
      <c r="K170" s="40">
        <v>820729.29</v>
      </c>
    </row>
    <row r="171" spans="1:11">
      <c r="A171" s="36" t="s">
        <v>65</v>
      </c>
      <c r="B171" s="36" t="s">
        <v>16</v>
      </c>
      <c r="C171" s="36" t="s">
        <v>17</v>
      </c>
      <c r="D171" s="37">
        <v>1</v>
      </c>
      <c r="E171" s="36">
        <v>0</v>
      </c>
      <c r="F171" s="36">
        <v>0</v>
      </c>
      <c r="G171" s="36">
        <v>0</v>
      </c>
      <c r="H171" s="36">
        <v>0</v>
      </c>
      <c r="I171" s="36">
        <v>0</v>
      </c>
      <c r="J171" s="36">
        <v>0</v>
      </c>
      <c r="K171" s="38">
        <v>739831.73</v>
      </c>
    </row>
    <row r="172" spans="1:11">
      <c r="A172" s="39" t="s">
        <v>65</v>
      </c>
      <c r="B172" s="39" t="s">
        <v>16</v>
      </c>
      <c r="C172" s="39" t="s">
        <v>17</v>
      </c>
      <c r="D172" s="37">
        <v>1</v>
      </c>
      <c r="E172" s="39">
        <v>0</v>
      </c>
      <c r="F172" s="39">
        <v>0</v>
      </c>
      <c r="G172" s="39">
        <v>0</v>
      </c>
      <c r="H172" s="39">
        <v>0</v>
      </c>
      <c r="I172" s="39">
        <v>0</v>
      </c>
      <c r="J172" s="39">
        <v>0</v>
      </c>
      <c r="K172" s="40">
        <v>593637.14</v>
      </c>
    </row>
    <row r="173" spans="1:11">
      <c r="A173" s="36" t="s">
        <v>65</v>
      </c>
      <c r="B173" s="36" t="s">
        <v>16</v>
      </c>
      <c r="C173" s="36" t="s">
        <v>17</v>
      </c>
      <c r="D173" s="37">
        <v>1</v>
      </c>
      <c r="E173" s="36">
        <v>0</v>
      </c>
      <c r="F173" s="36">
        <v>0</v>
      </c>
      <c r="G173" s="36">
        <v>0</v>
      </c>
      <c r="H173" s="36">
        <v>0</v>
      </c>
      <c r="I173" s="36">
        <v>0</v>
      </c>
      <c r="J173" s="36">
        <v>0</v>
      </c>
      <c r="K173" s="38">
        <v>769702.76</v>
      </c>
    </row>
    <row r="174" spans="1:11">
      <c r="A174" s="39" t="s">
        <v>65</v>
      </c>
      <c r="B174" s="39" t="s">
        <v>16</v>
      </c>
      <c r="C174" s="39" t="s">
        <v>17</v>
      </c>
      <c r="D174" s="37">
        <v>1</v>
      </c>
      <c r="E174" s="39">
        <v>0</v>
      </c>
      <c r="F174" s="39">
        <v>0</v>
      </c>
      <c r="G174" s="39">
        <v>0</v>
      </c>
      <c r="H174" s="39">
        <v>0</v>
      </c>
      <c r="I174" s="39">
        <v>0</v>
      </c>
      <c r="J174" s="39">
        <v>0</v>
      </c>
      <c r="K174" s="40">
        <v>679731.57</v>
      </c>
    </row>
    <row r="175" spans="1:11">
      <c r="A175" s="36" t="s">
        <v>66</v>
      </c>
      <c r="B175" s="36" t="s">
        <v>16</v>
      </c>
      <c r="C175" s="36" t="s">
        <v>17</v>
      </c>
      <c r="D175" s="37">
        <v>1</v>
      </c>
      <c r="E175" s="36">
        <v>0</v>
      </c>
      <c r="F175" s="36">
        <v>0</v>
      </c>
      <c r="G175" s="36">
        <v>0</v>
      </c>
      <c r="H175" s="36">
        <v>0</v>
      </c>
      <c r="I175" s="36">
        <v>0</v>
      </c>
      <c r="J175" s="36">
        <v>0</v>
      </c>
      <c r="K175" s="38">
        <v>780344.18</v>
      </c>
    </row>
    <row r="176" spans="1:11">
      <c r="A176" s="39" t="s">
        <v>66</v>
      </c>
      <c r="B176" s="39" t="s">
        <v>16</v>
      </c>
      <c r="C176" s="39" t="s">
        <v>17</v>
      </c>
      <c r="D176" s="37">
        <v>1</v>
      </c>
      <c r="E176" s="39">
        <v>0</v>
      </c>
      <c r="F176" s="39">
        <v>0</v>
      </c>
      <c r="G176" s="39">
        <v>0</v>
      </c>
      <c r="H176" s="39">
        <v>0</v>
      </c>
      <c r="I176" s="39">
        <v>0</v>
      </c>
      <c r="J176" s="39">
        <v>0</v>
      </c>
      <c r="K176" s="40">
        <v>721364.11</v>
      </c>
    </row>
    <row r="177" spans="1:11">
      <c r="A177" s="36" t="s">
        <v>66</v>
      </c>
      <c r="B177" s="36" t="s">
        <v>16</v>
      </c>
      <c r="C177" s="36" t="s">
        <v>17</v>
      </c>
      <c r="D177" s="37">
        <v>1</v>
      </c>
      <c r="E177" s="36">
        <v>0</v>
      </c>
      <c r="F177" s="36">
        <v>0</v>
      </c>
      <c r="G177" s="36">
        <v>0</v>
      </c>
      <c r="H177" s="36">
        <v>0</v>
      </c>
      <c r="I177" s="36">
        <v>0</v>
      </c>
      <c r="J177" s="36">
        <v>0</v>
      </c>
      <c r="K177" s="38">
        <v>758138.29</v>
      </c>
    </row>
    <row r="178" spans="1:11">
      <c r="A178" s="39" t="s">
        <v>66</v>
      </c>
      <c r="B178" s="39" t="s">
        <v>16</v>
      </c>
      <c r="C178" s="39" t="s">
        <v>17</v>
      </c>
      <c r="D178" s="37">
        <v>1</v>
      </c>
      <c r="E178" s="39">
        <v>0</v>
      </c>
      <c r="F178" s="39">
        <v>0</v>
      </c>
      <c r="G178" s="39">
        <v>0</v>
      </c>
      <c r="H178" s="39">
        <v>0</v>
      </c>
      <c r="I178" s="39">
        <v>0</v>
      </c>
      <c r="J178" s="39">
        <v>0</v>
      </c>
      <c r="K178" s="40">
        <v>804264</v>
      </c>
    </row>
    <row r="179" spans="1:11">
      <c r="A179" s="36" t="s">
        <v>67</v>
      </c>
      <c r="B179" s="36" t="s">
        <v>28</v>
      </c>
      <c r="C179" s="36" t="s">
        <v>22</v>
      </c>
      <c r="D179" s="36">
        <v>0</v>
      </c>
      <c r="E179" s="36">
        <v>0</v>
      </c>
      <c r="F179" s="36">
        <v>0</v>
      </c>
      <c r="G179" s="41">
        <v>1</v>
      </c>
      <c r="H179" s="36">
        <v>0</v>
      </c>
      <c r="I179" s="36">
        <v>0</v>
      </c>
      <c r="J179" s="36">
        <v>1</v>
      </c>
      <c r="K179" s="38">
        <v>887537.75</v>
      </c>
    </row>
    <row r="180" spans="1:11">
      <c r="A180" s="39" t="s">
        <v>67</v>
      </c>
      <c r="B180" s="39" t="s">
        <v>28</v>
      </c>
      <c r="C180" s="39" t="s">
        <v>22</v>
      </c>
      <c r="D180" s="39">
        <v>0</v>
      </c>
      <c r="E180" s="39">
        <v>0</v>
      </c>
      <c r="F180" s="39">
        <v>0</v>
      </c>
      <c r="G180" s="41">
        <v>1</v>
      </c>
      <c r="H180" s="39">
        <v>0</v>
      </c>
      <c r="I180" s="39">
        <v>0</v>
      </c>
      <c r="J180" s="39">
        <v>0</v>
      </c>
      <c r="K180" s="40">
        <v>783582</v>
      </c>
    </row>
    <row r="181" spans="1:11">
      <c r="A181" s="36" t="s">
        <v>67</v>
      </c>
      <c r="B181" s="36" t="s">
        <v>28</v>
      </c>
      <c r="C181" s="36" t="s">
        <v>22</v>
      </c>
      <c r="D181" s="36">
        <v>0</v>
      </c>
      <c r="E181" s="36">
        <v>0</v>
      </c>
      <c r="F181" s="36">
        <v>0</v>
      </c>
      <c r="G181" s="41">
        <v>1</v>
      </c>
      <c r="H181" s="36">
        <v>0</v>
      </c>
      <c r="I181" s="36">
        <v>0</v>
      </c>
      <c r="J181" s="36">
        <v>0</v>
      </c>
      <c r="K181" s="38">
        <v>781955.52</v>
      </c>
    </row>
    <row r="182" spans="1:11">
      <c r="A182" s="39" t="s">
        <v>67</v>
      </c>
      <c r="B182" s="39" t="s">
        <v>28</v>
      </c>
      <c r="C182" s="39" t="s">
        <v>22</v>
      </c>
      <c r="D182" s="39">
        <v>0</v>
      </c>
      <c r="E182" s="39">
        <v>0</v>
      </c>
      <c r="F182" s="39">
        <v>0</v>
      </c>
      <c r="G182" s="41">
        <v>1</v>
      </c>
      <c r="H182" s="39">
        <v>0</v>
      </c>
      <c r="I182" s="39">
        <v>0</v>
      </c>
      <c r="J182" s="39">
        <v>0</v>
      </c>
      <c r="K182" s="40">
        <v>898031.04</v>
      </c>
    </row>
    <row r="183" spans="1:11">
      <c r="A183" s="36" t="s">
        <v>68</v>
      </c>
      <c r="B183" s="36" t="s">
        <v>28</v>
      </c>
      <c r="C183" s="36" t="s">
        <v>17</v>
      </c>
      <c r="D183" s="36">
        <v>0</v>
      </c>
      <c r="E183" s="36">
        <v>0</v>
      </c>
      <c r="F183" s="36">
        <v>0</v>
      </c>
      <c r="G183" s="36">
        <v>0</v>
      </c>
      <c r="H183" s="36">
        <v>0</v>
      </c>
      <c r="I183" s="36">
        <v>0</v>
      </c>
      <c r="J183" s="36">
        <v>1</v>
      </c>
      <c r="K183" s="38">
        <v>855341.28</v>
      </c>
    </row>
    <row r="184" spans="1:11">
      <c r="A184" s="39" t="s">
        <v>68</v>
      </c>
      <c r="B184" s="39" t="s">
        <v>28</v>
      </c>
      <c r="C184" s="39" t="s">
        <v>17</v>
      </c>
      <c r="D184" s="39">
        <v>0</v>
      </c>
      <c r="E184" s="39">
        <v>0</v>
      </c>
      <c r="F184" s="39">
        <v>0</v>
      </c>
      <c r="G184" s="39">
        <v>0</v>
      </c>
      <c r="H184" s="39">
        <v>0</v>
      </c>
      <c r="I184" s="39">
        <v>0</v>
      </c>
      <c r="J184" s="39">
        <v>0</v>
      </c>
      <c r="K184" s="40">
        <v>751393.88</v>
      </c>
    </row>
    <row r="185" spans="1:11">
      <c r="A185" s="36" t="s">
        <v>68</v>
      </c>
      <c r="B185" s="36" t="s">
        <v>28</v>
      </c>
      <c r="C185" s="36" t="s">
        <v>17</v>
      </c>
      <c r="D185" s="36">
        <v>0</v>
      </c>
      <c r="E185" s="36">
        <v>0</v>
      </c>
      <c r="F185" s="36">
        <v>0</v>
      </c>
      <c r="G185" s="36">
        <v>0</v>
      </c>
      <c r="H185" s="36">
        <v>0</v>
      </c>
      <c r="I185" s="36">
        <v>0</v>
      </c>
      <c r="J185" s="36">
        <v>1</v>
      </c>
      <c r="K185" s="38">
        <v>761077.08</v>
      </c>
    </row>
    <row r="186" spans="1:11">
      <c r="A186" s="39" t="s">
        <v>68</v>
      </c>
      <c r="B186" s="39" t="s">
        <v>28</v>
      </c>
      <c r="C186" s="39" t="s">
        <v>17</v>
      </c>
      <c r="D186" s="39">
        <v>0</v>
      </c>
      <c r="E186" s="39">
        <v>0</v>
      </c>
      <c r="F186" s="39">
        <v>0</v>
      </c>
      <c r="G186" s="39">
        <v>0</v>
      </c>
      <c r="H186" s="39">
        <v>0</v>
      </c>
      <c r="I186" s="39">
        <v>0</v>
      </c>
      <c r="J186" s="39">
        <v>0</v>
      </c>
      <c r="K186" s="40">
        <v>819660.59</v>
      </c>
    </row>
    <row r="187" spans="1:11">
      <c r="A187" s="36" t="s">
        <v>69</v>
      </c>
      <c r="B187" s="36" t="s">
        <v>21</v>
      </c>
      <c r="C187" s="36" t="s">
        <v>19</v>
      </c>
      <c r="D187" s="36">
        <v>0</v>
      </c>
      <c r="E187" s="37">
        <v>1</v>
      </c>
      <c r="F187" s="36">
        <v>0</v>
      </c>
      <c r="G187" s="36">
        <v>0</v>
      </c>
      <c r="H187" s="41">
        <v>1</v>
      </c>
      <c r="I187" s="36">
        <v>0</v>
      </c>
      <c r="J187" s="36">
        <v>0</v>
      </c>
      <c r="K187" s="38">
        <v>681855.56</v>
      </c>
    </row>
    <row r="188" spans="1:11">
      <c r="A188" s="39" t="s">
        <v>69</v>
      </c>
      <c r="B188" s="39" t="s">
        <v>21</v>
      </c>
      <c r="C188" s="39" t="s">
        <v>19</v>
      </c>
      <c r="D188" s="39">
        <v>0</v>
      </c>
      <c r="E188" s="37">
        <v>1</v>
      </c>
      <c r="F188" s="39">
        <v>0</v>
      </c>
      <c r="G188" s="39">
        <v>0</v>
      </c>
      <c r="H188" s="41">
        <v>1</v>
      </c>
      <c r="I188" s="39">
        <v>0</v>
      </c>
      <c r="J188" s="39">
        <v>0</v>
      </c>
      <c r="K188" s="40">
        <v>678311.17</v>
      </c>
    </row>
    <row r="189" spans="1:11">
      <c r="A189" s="36" t="s">
        <v>69</v>
      </c>
      <c r="B189" s="36" t="s">
        <v>21</v>
      </c>
      <c r="C189" s="36" t="s">
        <v>19</v>
      </c>
      <c r="D189" s="36">
        <v>0</v>
      </c>
      <c r="E189" s="37">
        <v>1</v>
      </c>
      <c r="F189" s="36">
        <v>0</v>
      </c>
      <c r="G189" s="36">
        <v>0</v>
      </c>
      <c r="H189" s="41">
        <v>1</v>
      </c>
      <c r="I189" s="36">
        <v>0</v>
      </c>
      <c r="J189" s="36">
        <v>1</v>
      </c>
      <c r="K189" s="38">
        <v>765906.95</v>
      </c>
    </row>
    <row r="190" spans="1:11">
      <c r="A190" s="39" t="s">
        <v>69</v>
      </c>
      <c r="B190" s="39" t="s">
        <v>21</v>
      </c>
      <c r="C190" s="39" t="s">
        <v>19</v>
      </c>
      <c r="D190" s="39">
        <v>0</v>
      </c>
      <c r="E190" s="37">
        <v>1</v>
      </c>
      <c r="F190" s="39">
        <v>0</v>
      </c>
      <c r="G190" s="39">
        <v>0</v>
      </c>
      <c r="H190" s="41">
        <v>1</v>
      </c>
      <c r="I190" s="39">
        <v>0</v>
      </c>
      <c r="J190" s="39">
        <v>0</v>
      </c>
      <c r="K190" s="40">
        <v>712546.38</v>
      </c>
    </row>
    <row r="191" spans="1:11">
      <c r="A191" s="36" t="s">
        <v>70</v>
      </c>
      <c r="B191" s="36" t="s">
        <v>16</v>
      </c>
      <c r="C191" s="36" t="s">
        <v>19</v>
      </c>
      <c r="D191" s="37">
        <v>1</v>
      </c>
      <c r="E191" s="36">
        <v>0</v>
      </c>
      <c r="F191" s="36">
        <v>0</v>
      </c>
      <c r="G191" s="36">
        <v>0</v>
      </c>
      <c r="H191" s="41">
        <v>1</v>
      </c>
      <c r="I191" s="36">
        <v>0</v>
      </c>
      <c r="J191" s="36">
        <v>0</v>
      </c>
      <c r="K191" s="38">
        <v>625993.82999999996</v>
      </c>
    </row>
    <row r="192" spans="1:11">
      <c r="A192" s="39" t="s">
        <v>70</v>
      </c>
      <c r="B192" s="39" t="s">
        <v>16</v>
      </c>
      <c r="C192" s="39" t="s">
        <v>19</v>
      </c>
      <c r="D192" s="37">
        <v>1</v>
      </c>
      <c r="E192" s="39">
        <v>0</v>
      </c>
      <c r="F192" s="39">
        <v>0</v>
      </c>
      <c r="G192" s="39">
        <v>0</v>
      </c>
      <c r="H192" s="41">
        <v>1</v>
      </c>
      <c r="I192" s="39">
        <v>0</v>
      </c>
      <c r="J192" s="39">
        <v>0</v>
      </c>
      <c r="K192" s="40">
        <v>550962.93000000005</v>
      </c>
    </row>
    <row r="193" spans="1:11">
      <c r="A193" s="36" t="s">
        <v>70</v>
      </c>
      <c r="B193" s="36" t="s">
        <v>16</v>
      </c>
      <c r="C193" s="36" t="s">
        <v>19</v>
      </c>
      <c r="D193" s="37">
        <v>1</v>
      </c>
      <c r="E193" s="36">
        <v>0</v>
      </c>
      <c r="F193" s="36">
        <v>0</v>
      </c>
      <c r="G193" s="36">
        <v>0</v>
      </c>
      <c r="H193" s="41">
        <v>1</v>
      </c>
      <c r="I193" s="36">
        <v>0</v>
      </c>
      <c r="J193" s="36">
        <v>0</v>
      </c>
      <c r="K193" s="38">
        <v>443275.59</v>
      </c>
    </row>
    <row r="194" spans="1:11">
      <c r="A194" s="39" t="s">
        <v>70</v>
      </c>
      <c r="B194" s="39" t="s">
        <v>16</v>
      </c>
      <c r="C194" s="39" t="s">
        <v>19</v>
      </c>
      <c r="D194" s="37">
        <v>1</v>
      </c>
      <c r="E194" s="39">
        <v>0</v>
      </c>
      <c r="F194" s="39">
        <v>0</v>
      </c>
      <c r="G194" s="39">
        <v>0</v>
      </c>
      <c r="H194" s="41">
        <v>1</v>
      </c>
      <c r="I194" s="39">
        <v>0</v>
      </c>
      <c r="J194" s="39">
        <v>0</v>
      </c>
      <c r="K194" s="40">
        <v>554012.06999999995</v>
      </c>
    </row>
    <row r="195" spans="1:11">
      <c r="A195" s="36" t="s">
        <v>71</v>
      </c>
      <c r="B195" s="36" t="s">
        <v>28</v>
      </c>
      <c r="C195" s="36" t="s">
        <v>17</v>
      </c>
      <c r="D195" s="36">
        <v>0</v>
      </c>
      <c r="E195" s="36">
        <v>0</v>
      </c>
      <c r="F195" s="36">
        <v>0</v>
      </c>
      <c r="G195" s="36">
        <v>0</v>
      </c>
      <c r="H195" s="36">
        <v>0</v>
      </c>
      <c r="I195" s="36">
        <v>0</v>
      </c>
      <c r="J195" s="36">
        <v>0</v>
      </c>
      <c r="K195" s="38">
        <v>643428.85</v>
      </c>
    </row>
    <row r="196" spans="1:11">
      <c r="A196" s="39" t="s">
        <v>71</v>
      </c>
      <c r="B196" s="39" t="s">
        <v>28</v>
      </c>
      <c r="C196" s="39" t="s">
        <v>17</v>
      </c>
      <c r="D196" s="39">
        <v>0</v>
      </c>
      <c r="E196" s="39">
        <v>0</v>
      </c>
      <c r="F196" s="39">
        <v>0</v>
      </c>
      <c r="G196" s="39">
        <v>0</v>
      </c>
      <c r="H196" s="39">
        <v>0</v>
      </c>
      <c r="I196" s="39">
        <v>0</v>
      </c>
      <c r="J196" s="39">
        <v>0</v>
      </c>
      <c r="K196" s="40">
        <v>611924.27</v>
      </c>
    </row>
    <row r="197" spans="1:11">
      <c r="A197" s="36" t="s">
        <v>71</v>
      </c>
      <c r="B197" s="36" t="s">
        <v>28</v>
      </c>
      <c r="C197" s="36" t="s">
        <v>17</v>
      </c>
      <c r="D197" s="36">
        <v>0</v>
      </c>
      <c r="E197" s="36">
        <v>0</v>
      </c>
      <c r="F197" s="36">
        <v>0</v>
      </c>
      <c r="G197" s="36">
        <v>0</v>
      </c>
      <c r="H197" s="36">
        <v>0</v>
      </c>
      <c r="I197" s="36">
        <v>0</v>
      </c>
      <c r="J197" s="36">
        <v>0</v>
      </c>
      <c r="K197" s="38">
        <v>559422.02</v>
      </c>
    </row>
    <row r="198" spans="1:11">
      <c r="A198" s="39" t="s">
        <v>71</v>
      </c>
      <c r="B198" s="39" t="s">
        <v>28</v>
      </c>
      <c r="C198" s="39" t="s">
        <v>17</v>
      </c>
      <c r="D198" s="39">
        <v>0</v>
      </c>
      <c r="E198" s="39">
        <v>0</v>
      </c>
      <c r="F198" s="39">
        <v>0</v>
      </c>
      <c r="G198" s="39">
        <v>0</v>
      </c>
      <c r="H198" s="39">
        <v>0</v>
      </c>
      <c r="I198" s="39">
        <v>0</v>
      </c>
      <c r="J198" s="39">
        <v>0</v>
      </c>
      <c r="K198" s="40">
        <v>449465.06</v>
      </c>
    </row>
    <row r="199" spans="1:11">
      <c r="A199" s="36" t="s">
        <v>72</v>
      </c>
      <c r="B199" s="36" t="s">
        <v>21</v>
      </c>
      <c r="C199" s="36" t="s">
        <v>17</v>
      </c>
      <c r="D199" s="36">
        <v>0</v>
      </c>
      <c r="E199" s="37">
        <v>1</v>
      </c>
      <c r="F199" s="36">
        <v>0</v>
      </c>
      <c r="G199" s="36">
        <v>0</v>
      </c>
      <c r="H199" s="36">
        <v>0</v>
      </c>
      <c r="I199" s="36">
        <v>0</v>
      </c>
      <c r="J199" s="36">
        <v>0</v>
      </c>
      <c r="K199" s="38">
        <v>691447.43</v>
      </c>
    </row>
    <row r="200" spans="1:11">
      <c r="A200" s="39" t="s">
        <v>72</v>
      </c>
      <c r="B200" s="39" t="s">
        <v>21</v>
      </c>
      <c r="C200" s="39" t="s">
        <v>17</v>
      </c>
      <c r="D200" s="39">
        <v>0</v>
      </c>
      <c r="E200" s="37">
        <v>1</v>
      </c>
      <c r="F200" s="39">
        <v>0</v>
      </c>
      <c r="G200" s="39">
        <v>0</v>
      </c>
      <c r="H200" s="39">
        <v>0</v>
      </c>
      <c r="I200" s="39">
        <v>0</v>
      </c>
      <c r="J200" s="39">
        <v>0</v>
      </c>
      <c r="K200" s="40">
        <v>574066.61</v>
      </c>
    </row>
    <row r="201" spans="1:11">
      <c r="A201" s="36" t="s">
        <v>72</v>
      </c>
      <c r="B201" s="36" t="s">
        <v>21</v>
      </c>
      <c r="C201" s="36" t="s">
        <v>17</v>
      </c>
      <c r="D201" s="36">
        <v>0</v>
      </c>
      <c r="E201" s="37">
        <v>1</v>
      </c>
      <c r="F201" s="36">
        <v>0</v>
      </c>
      <c r="G201" s="36">
        <v>0</v>
      </c>
      <c r="H201" s="36">
        <v>0</v>
      </c>
      <c r="I201" s="36">
        <v>0</v>
      </c>
      <c r="J201" s="36">
        <v>1</v>
      </c>
      <c r="K201" s="38">
        <v>578949.84</v>
      </c>
    </row>
    <row r="202" spans="1:11">
      <c r="A202" s="39" t="s">
        <v>72</v>
      </c>
      <c r="B202" s="39" t="s">
        <v>21</v>
      </c>
      <c r="C202" s="39" t="s">
        <v>17</v>
      </c>
      <c r="D202" s="39">
        <v>0</v>
      </c>
      <c r="E202" s="37">
        <v>1</v>
      </c>
      <c r="F202" s="39">
        <v>0</v>
      </c>
      <c r="G202" s="39">
        <v>0</v>
      </c>
      <c r="H202" s="39">
        <v>0</v>
      </c>
      <c r="I202" s="39">
        <v>0</v>
      </c>
      <c r="J202" s="39">
        <v>0</v>
      </c>
      <c r="K202" s="40">
        <v>735786.64</v>
      </c>
    </row>
    <row r="203" spans="1:11">
      <c r="A203" s="36" t="s">
        <v>73</v>
      </c>
      <c r="B203" s="36" t="s">
        <v>16</v>
      </c>
      <c r="C203" s="36" t="s">
        <v>22</v>
      </c>
      <c r="D203" s="37">
        <v>1</v>
      </c>
      <c r="E203" s="36">
        <v>0</v>
      </c>
      <c r="F203" s="36">
        <v>0</v>
      </c>
      <c r="G203" s="41">
        <v>1</v>
      </c>
      <c r="H203" s="36">
        <v>0</v>
      </c>
      <c r="I203" s="36">
        <v>0</v>
      </c>
      <c r="J203" s="36">
        <v>1</v>
      </c>
      <c r="K203" s="38">
        <v>598904.9</v>
      </c>
    </row>
    <row r="204" spans="1:11">
      <c r="A204" s="39" t="s">
        <v>73</v>
      </c>
      <c r="B204" s="39" t="s">
        <v>16</v>
      </c>
      <c r="C204" s="39" t="s">
        <v>22</v>
      </c>
      <c r="D204" s="37">
        <v>1</v>
      </c>
      <c r="E204" s="39">
        <v>0</v>
      </c>
      <c r="F204" s="39">
        <v>0</v>
      </c>
      <c r="G204" s="41">
        <v>1</v>
      </c>
      <c r="H204" s="39">
        <v>0</v>
      </c>
      <c r="I204" s="39">
        <v>0</v>
      </c>
      <c r="J204" s="39">
        <v>0</v>
      </c>
      <c r="K204" s="40">
        <v>787715.51</v>
      </c>
    </row>
    <row r="205" spans="1:11">
      <c r="A205" s="36" t="s">
        <v>73</v>
      </c>
      <c r="B205" s="36" t="s">
        <v>16</v>
      </c>
      <c r="C205" s="36" t="s">
        <v>22</v>
      </c>
      <c r="D205" s="37">
        <v>1</v>
      </c>
      <c r="E205" s="36">
        <v>0</v>
      </c>
      <c r="F205" s="36">
        <v>0</v>
      </c>
      <c r="G205" s="41">
        <v>1</v>
      </c>
      <c r="H205" s="36">
        <v>0</v>
      </c>
      <c r="I205" s="36">
        <v>0</v>
      </c>
      <c r="J205" s="36">
        <v>1</v>
      </c>
      <c r="K205" s="38">
        <v>607084.92000000004</v>
      </c>
    </row>
    <row r="206" spans="1:11">
      <c r="A206" s="39" t="s">
        <v>73</v>
      </c>
      <c r="B206" s="39" t="s">
        <v>16</v>
      </c>
      <c r="C206" s="39" t="s">
        <v>22</v>
      </c>
      <c r="D206" s="37">
        <v>1</v>
      </c>
      <c r="E206" s="39">
        <v>0</v>
      </c>
      <c r="F206" s="39">
        <v>0</v>
      </c>
      <c r="G206" s="41">
        <v>1</v>
      </c>
      <c r="H206" s="39">
        <v>0</v>
      </c>
      <c r="I206" s="39">
        <v>0</v>
      </c>
      <c r="J206" s="39">
        <v>0</v>
      </c>
      <c r="K206" s="40">
        <v>650795.49</v>
      </c>
    </row>
    <row r="207" spans="1:11">
      <c r="A207" s="36" t="s">
        <v>74</v>
      </c>
      <c r="B207" s="36" t="s">
        <v>16</v>
      </c>
      <c r="C207" s="36" t="s">
        <v>29</v>
      </c>
      <c r="D207" s="37">
        <v>1</v>
      </c>
      <c r="E207" s="36">
        <v>0</v>
      </c>
      <c r="F207" s="36">
        <v>0</v>
      </c>
      <c r="G207" s="36">
        <v>0</v>
      </c>
      <c r="H207" s="36">
        <v>0</v>
      </c>
      <c r="I207" s="41">
        <v>1</v>
      </c>
      <c r="J207" s="36">
        <v>0</v>
      </c>
      <c r="K207" s="38">
        <v>825060.52</v>
      </c>
    </row>
    <row r="208" spans="1:11">
      <c r="A208" s="39" t="s">
        <v>74</v>
      </c>
      <c r="B208" s="39" t="s">
        <v>16</v>
      </c>
      <c r="C208" s="39" t="s">
        <v>29</v>
      </c>
      <c r="D208" s="37">
        <v>1</v>
      </c>
      <c r="E208" s="39">
        <v>0</v>
      </c>
      <c r="F208" s="39">
        <v>0</v>
      </c>
      <c r="G208" s="39">
        <v>0</v>
      </c>
      <c r="H208" s="39">
        <v>0</v>
      </c>
      <c r="I208" s="41">
        <v>1</v>
      </c>
      <c r="J208" s="39">
        <v>0</v>
      </c>
      <c r="K208" s="40">
        <v>795464.47</v>
      </c>
    </row>
    <row r="209" spans="1:11">
      <c r="A209" s="36" t="s">
        <v>74</v>
      </c>
      <c r="B209" s="36" t="s">
        <v>16</v>
      </c>
      <c r="C209" s="36" t="s">
        <v>29</v>
      </c>
      <c r="D209" s="37">
        <v>1</v>
      </c>
      <c r="E209" s="36">
        <v>0</v>
      </c>
      <c r="F209" s="36">
        <v>0</v>
      </c>
      <c r="G209" s="36">
        <v>0</v>
      </c>
      <c r="H209" s="36">
        <v>0</v>
      </c>
      <c r="I209" s="41">
        <v>1</v>
      </c>
      <c r="J209" s="36">
        <v>0</v>
      </c>
      <c r="K209" s="38">
        <v>671868.59</v>
      </c>
    </row>
    <row r="210" spans="1:11">
      <c r="A210" s="39" t="s">
        <v>74</v>
      </c>
      <c r="B210" s="39" t="s">
        <v>16</v>
      </c>
      <c r="C210" s="39" t="s">
        <v>29</v>
      </c>
      <c r="D210" s="37">
        <v>1</v>
      </c>
      <c r="E210" s="39">
        <v>0</v>
      </c>
      <c r="F210" s="39">
        <v>0</v>
      </c>
      <c r="G210" s="39">
        <v>0</v>
      </c>
      <c r="H210" s="39">
        <v>0</v>
      </c>
      <c r="I210" s="41">
        <v>1</v>
      </c>
      <c r="J210" s="39">
        <v>0</v>
      </c>
      <c r="K210" s="40">
        <v>675917.63</v>
      </c>
    </row>
    <row r="211" spans="1:11">
      <c r="A211" s="36" t="s">
        <v>75</v>
      </c>
      <c r="B211" s="36" t="s">
        <v>16</v>
      </c>
      <c r="C211" s="36" t="s">
        <v>19</v>
      </c>
      <c r="D211" s="37">
        <v>1</v>
      </c>
      <c r="E211" s="36">
        <v>0</v>
      </c>
      <c r="F211" s="36">
        <v>0</v>
      </c>
      <c r="G211" s="36">
        <v>0</v>
      </c>
      <c r="H211" s="41">
        <v>1</v>
      </c>
      <c r="I211" s="36">
        <v>0</v>
      </c>
      <c r="J211" s="36">
        <v>1</v>
      </c>
      <c r="K211" s="38">
        <v>810446.53</v>
      </c>
    </row>
    <row r="212" spans="1:11">
      <c r="A212" s="39" t="s">
        <v>75</v>
      </c>
      <c r="B212" s="39" t="s">
        <v>16</v>
      </c>
      <c r="C212" s="39" t="s">
        <v>19</v>
      </c>
      <c r="D212" s="37">
        <v>1</v>
      </c>
      <c r="E212" s="39">
        <v>0</v>
      </c>
      <c r="F212" s="39">
        <v>0</v>
      </c>
      <c r="G212" s="39">
        <v>0</v>
      </c>
      <c r="H212" s="41">
        <v>1</v>
      </c>
      <c r="I212" s="39">
        <v>0</v>
      </c>
      <c r="J212" s="39">
        <v>0</v>
      </c>
      <c r="K212" s="40">
        <v>691288.19</v>
      </c>
    </row>
    <row r="213" spans="1:11">
      <c r="A213" s="36" t="s">
        <v>75</v>
      </c>
      <c r="B213" s="36" t="s">
        <v>16</v>
      </c>
      <c r="C213" s="36" t="s">
        <v>19</v>
      </c>
      <c r="D213" s="37">
        <v>1</v>
      </c>
      <c r="E213" s="36">
        <v>0</v>
      </c>
      <c r="F213" s="36">
        <v>0</v>
      </c>
      <c r="G213" s="36">
        <v>0</v>
      </c>
      <c r="H213" s="41">
        <v>1</v>
      </c>
      <c r="I213" s="36">
        <v>0</v>
      </c>
      <c r="J213" s="36">
        <v>1</v>
      </c>
      <c r="K213" s="38">
        <v>946833.54</v>
      </c>
    </row>
    <row r="214" spans="1:11">
      <c r="A214" s="39" t="s">
        <v>75</v>
      </c>
      <c r="B214" s="39" t="s">
        <v>16</v>
      </c>
      <c r="C214" s="39" t="s">
        <v>19</v>
      </c>
      <c r="D214" s="37">
        <v>1</v>
      </c>
      <c r="E214" s="39">
        <v>0</v>
      </c>
      <c r="F214" s="39">
        <v>0</v>
      </c>
      <c r="G214" s="39">
        <v>0</v>
      </c>
      <c r="H214" s="41">
        <v>1</v>
      </c>
      <c r="I214" s="39">
        <v>0</v>
      </c>
      <c r="J214" s="39">
        <v>0</v>
      </c>
      <c r="K214" s="40">
        <v>761963.23</v>
      </c>
    </row>
    <row r="215" spans="1:11">
      <c r="A215" s="36" t="s">
        <v>76</v>
      </c>
      <c r="B215" s="36" t="s">
        <v>28</v>
      </c>
      <c r="C215" s="36" t="s">
        <v>17</v>
      </c>
      <c r="D215" s="36">
        <v>0</v>
      </c>
      <c r="E215" s="36">
        <v>0</v>
      </c>
      <c r="F215" s="36">
        <v>0</v>
      </c>
      <c r="G215" s="36">
        <v>0</v>
      </c>
      <c r="H215" s="36">
        <v>0</v>
      </c>
      <c r="I215" s="36">
        <v>0</v>
      </c>
      <c r="J215" s="36">
        <v>0</v>
      </c>
      <c r="K215" s="38">
        <v>812152.6</v>
      </c>
    </row>
    <row r="216" spans="1:11">
      <c r="A216" s="39" t="s">
        <v>76</v>
      </c>
      <c r="B216" s="39" t="s">
        <v>28</v>
      </c>
      <c r="C216" s="39" t="s">
        <v>17</v>
      </c>
      <c r="D216" s="39">
        <v>0</v>
      </c>
      <c r="E216" s="39">
        <v>0</v>
      </c>
      <c r="F216" s="39">
        <v>0</v>
      </c>
      <c r="G216" s="39">
        <v>0</v>
      </c>
      <c r="H216" s="39">
        <v>0</v>
      </c>
      <c r="I216" s="39">
        <v>0</v>
      </c>
      <c r="J216" s="39">
        <v>0</v>
      </c>
      <c r="K216" s="40">
        <v>804975.5</v>
      </c>
    </row>
    <row r="217" spans="1:11">
      <c r="A217" s="36" t="s">
        <v>76</v>
      </c>
      <c r="B217" s="36" t="s">
        <v>28</v>
      </c>
      <c r="C217" s="36" t="s">
        <v>17</v>
      </c>
      <c r="D217" s="36">
        <v>0</v>
      </c>
      <c r="E217" s="36">
        <v>0</v>
      </c>
      <c r="F217" s="36">
        <v>0</v>
      </c>
      <c r="G217" s="36">
        <v>0</v>
      </c>
      <c r="H217" s="36">
        <v>0</v>
      </c>
      <c r="I217" s="36">
        <v>0</v>
      </c>
      <c r="J217" s="36">
        <v>0</v>
      </c>
      <c r="K217" s="38">
        <v>752321.72</v>
      </c>
    </row>
    <row r="218" spans="1:11">
      <c r="A218" s="39" t="s">
        <v>76</v>
      </c>
      <c r="B218" s="39" t="s">
        <v>28</v>
      </c>
      <c r="C218" s="39" t="s">
        <v>17</v>
      </c>
      <c r="D218" s="39">
        <v>0</v>
      </c>
      <c r="E218" s="39">
        <v>0</v>
      </c>
      <c r="F218" s="39">
        <v>0</v>
      </c>
      <c r="G218" s="39">
        <v>0</v>
      </c>
      <c r="H218" s="39">
        <v>0</v>
      </c>
      <c r="I218" s="39">
        <v>0</v>
      </c>
      <c r="J218" s="39">
        <v>0</v>
      </c>
      <c r="K218" s="40">
        <v>836908.24</v>
      </c>
    </row>
    <row r="219" spans="1:11">
      <c r="A219" s="36" t="s">
        <v>77</v>
      </c>
      <c r="B219" s="36" t="s">
        <v>21</v>
      </c>
      <c r="C219" s="36" t="s">
        <v>22</v>
      </c>
      <c r="D219" s="36">
        <v>0</v>
      </c>
      <c r="E219" s="37">
        <v>1</v>
      </c>
      <c r="F219" s="36">
        <v>0</v>
      </c>
      <c r="G219" s="41">
        <v>1</v>
      </c>
      <c r="H219" s="36">
        <v>0</v>
      </c>
      <c r="I219" s="36">
        <v>0</v>
      </c>
      <c r="J219" s="36">
        <v>0</v>
      </c>
      <c r="K219" s="38">
        <v>674289.1</v>
      </c>
    </row>
    <row r="220" spans="1:11">
      <c r="A220" s="39" t="s">
        <v>77</v>
      </c>
      <c r="B220" s="39" t="s">
        <v>21</v>
      </c>
      <c r="C220" s="39" t="s">
        <v>22</v>
      </c>
      <c r="D220" s="39">
        <v>0</v>
      </c>
      <c r="E220" s="37">
        <v>1</v>
      </c>
      <c r="F220" s="39">
        <v>0</v>
      </c>
      <c r="G220" s="41">
        <v>1</v>
      </c>
      <c r="H220" s="39">
        <v>0</v>
      </c>
      <c r="I220" s="39">
        <v>0</v>
      </c>
      <c r="J220" s="39">
        <v>0</v>
      </c>
      <c r="K220" s="40">
        <v>622892.42000000004</v>
      </c>
    </row>
    <row r="221" spans="1:11">
      <c r="A221" s="36" t="s">
        <v>77</v>
      </c>
      <c r="B221" s="36" t="s">
        <v>21</v>
      </c>
      <c r="C221" s="36" t="s">
        <v>22</v>
      </c>
      <c r="D221" s="36">
        <v>0</v>
      </c>
      <c r="E221" s="37">
        <v>1</v>
      </c>
      <c r="F221" s="36">
        <v>0</v>
      </c>
      <c r="G221" s="41">
        <v>1</v>
      </c>
      <c r="H221" s="36">
        <v>0</v>
      </c>
      <c r="I221" s="36">
        <v>0</v>
      </c>
      <c r="J221" s="36">
        <v>0</v>
      </c>
      <c r="K221" s="38">
        <v>673348.56</v>
      </c>
    </row>
    <row r="222" spans="1:11">
      <c r="A222" s="39" t="s">
        <v>77</v>
      </c>
      <c r="B222" s="39" t="s">
        <v>21</v>
      </c>
      <c r="C222" s="39" t="s">
        <v>22</v>
      </c>
      <c r="D222" s="39">
        <v>0</v>
      </c>
      <c r="E222" s="37">
        <v>1</v>
      </c>
      <c r="F222" s="39">
        <v>0</v>
      </c>
      <c r="G222" s="41">
        <v>1</v>
      </c>
      <c r="H222" s="39">
        <v>0</v>
      </c>
      <c r="I222" s="39">
        <v>0</v>
      </c>
      <c r="J222" s="39">
        <v>0</v>
      </c>
      <c r="K222" s="40">
        <v>606278.30000000005</v>
      </c>
    </row>
    <row r="223" spans="1:11">
      <c r="A223" s="36" t="s">
        <v>78</v>
      </c>
      <c r="B223" s="36" t="s">
        <v>16</v>
      </c>
      <c r="C223" s="36" t="s">
        <v>19</v>
      </c>
      <c r="D223" s="37">
        <v>1</v>
      </c>
      <c r="E223" s="36">
        <v>0</v>
      </c>
      <c r="F223" s="36">
        <v>0</v>
      </c>
      <c r="G223" s="36">
        <v>0</v>
      </c>
      <c r="H223" s="41">
        <v>1</v>
      </c>
      <c r="I223" s="36">
        <v>0</v>
      </c>
      <c r="J223" s="36">
        <v>1</v>
      </c>
      <c r="K223" s="38">
        <v>712219.81</v>
      </c>
    </row>
    <row r="224" spans="1:11">
      <c r="A224" s="39" t="s">
        <v>78</v>
      </c>
      <c r="B224" s="39" t="s">
        <v>16</v>
      </c>
      <c r="C224" s="39" t="s">
        <v>19</v>
      </c>
      <c r="D224" s="37">
        <v>1</v>
      </c>
      <c r="E224" s="39">
        <v>0</v>
      </c>
      <c r="F224" s="39">
        <v>0</v>
      </c>
      <c r="G224" s="39">
        <v>0</v>
      </c>
      <c r="H224" s="41">
        <v>1</v>
      </c>
      <c r="I224" s="39">
        <v>0</v>
      </c>
      <c r="J224" s="39">
        <v>0</v>
      </c>
      <c r="K224" s="40">
        <v>672670.54</v>
      </c>
    </row>
    <row r="225" spans="1:11">
      <c r="A225" s="36" t="s">
        <v>78</v>
      </c>
      <c r="B225" s="36" t="s">
        <v>16</v>
      </c>
      <c r="C225" s="36" t="s">
        <v>19</v>
      </c>
      <c r="D225" s="37">
        <v>1</v>
      </c>
      <c r="E225" s="36">
        <v>0</v>
      </c>
      <c r="F225" s="36">
        <v>0</v>
      </c>
      <c r="G225" s="36">
        <v>0</v>
      </c>
      <c r="H225" s="41">
        <v>1</v>
      </c>
      <c r="I225" s="36">
        <v>0</v>
      </c>
      <c r="J225" s="36">
        <v>0</v>
      </c>
      <c r="K225" s="38">
        <v>732667.92</v>
      </c>
    </row>
    <row r="226" spans="1:11">
      <c r="A226" s="39" t="s">
        <v>78</v>
      </c>
      <c r="B226" s="39" t="s">
        <v>16</v>
      </c>
      <c r="C226" s="39" t="s">
        <v>19</v>
      </c>
      <c r="D226" s="37">
        <v>1</v>
      </c>
      <c r="E226" s="39">
        <v>0</v>
      </c>
      <c r="F226" s="39">
        <v>0</v>
      </c>
      <c r="G226" s="39">
        <v>0</v>
      </c>
      <c r="H226" s="41">
        <v>1</v>
      </c>
      <c r="I226" s="39">
        <v>0</v>
      </c>
      <c r="J226" s="39">
        <v>0</v>
      </c>
      <c r="K226" s="40">
        <v>723531.4</v>
      </c>
    </row>
    <row r="227" spans="1:11">
      <c r="A227" s="36" t="s">
        <v>79</v>
      </c>
      <c r="B227" s="36" t="s">
        <v>16</v>
      </c>
      <c r="C227" s="36" t="s">
        <v>29</v>
      </c>
      <c r="D227" s="37">
        <v>1</v>
      </c>
      <c r="E227" s="36">
        <v>0</v>
      </c>
      <c r="F227" s="36">
        <v>0</v>
      </c>
      <c r="G227" s="36">
        <v>0</v>
      </c>
      <c r="H227" s="36">
        <v>0</v>
      </c>
      <c r="I227" s="41">
        <v>1</v>
      </c>
      <c r="J227" s="36">
        <v>1</v>
      </c>
      <c r="K227" s="38">
        <v>641564.6</v>
      </c>
    </row>
    <row r="228" spans="1:11">
      <c r="A228" s="39" t="s">
        <v>79</v>
      </c>
      <c r="B228" s="39" t="s">
        <v>16</v>
      </c>
      <c r="C228" s="39" t="s">
        <v>29</v>
      </c>
      <c r="D228" s="37">
        <v>1</v>
      </c>
      <c r="E228" s="39">
        <v>0</v>
      </c>
      <c r="F228" s="39">
        <v>0</v>
      </c>
      <c r="G228" s="39">
        <v>0</v>
      </c>
      <c r="H228" s="39">
        <v>0</v>
      </c>
      <c r="I228" s="41">
        <v>1</v>
      </c>
      <c r="J228" s="39">
        <v>0</v>
      </c>
      <c r="K228" s="40">
        <v>536545.49</v>
      </c>
    </row>
    <row r="229" spans="1:11">
      <c r="A229" s="36" t="s">
        <v>79</v>
      </c>
      <c r="B229" s="36" t="s">
        <v>16</v>
      </c>
      <c r="C229" s="36" t="s">
        <v>29</v>
      </c>
      <c r="D229" s="37">
        <v>1</v>
      </c>
      <c r="E229" s="36">
        <v>0</v>
      </c>
      <c r="F229" s="36">
        <v>0</v>
      </c>
      <c r="G229" s="36">
        <v>0</v>
      </c>
      <c r="H229" s="36">
        <v>0</v>
      </c>
      <c r="I229" s="41">
        <v>1</v>
      </c>
      <c r="J229" s="36">
        <v>0</v>
      </c>
      <c r="K229" s="38">
        <v>527681.56000000006</v>
      </c>
    </row>
    <row r="230" spans="1:11">
      <c r="A230" s="39" t="s">
        <v>79</v>
      </c>
      <c r="B230" s="39" t="s">
        <v>16</v>
      </c>
      <c r="C230" s="39" t="s">
        <v>29</v>
      </c>
      <c r="D230" s="37">
        <v>1</v>
      </c>
      <c r="E230" s="39">
        <v>0</v>
      </c>
      <c r="F230" s="39">
        <v>0</v>
      </c>
      <c r="G230" s="39">
        <v>0</v>
      </c>
      <c r="H230" s="39">
        <v>0</v>
      </c>
      <c r="I230" s="41">
        <v>1</v>
      </c>
      <c r="J230" s="39">
        <v>0</v>
      </c>
      <c r="K230" s="40">
        <v>529598.93999999994</v>
      </c>
    </row>
    <row r="231" spans="1:11">
      <c r="A231" s="36" t="s">
        <v>80</v>
      </c>
      <c r="B231" s="36" t="s">
        <v>16</v>
      </c>
      <c r="C231" s="36" t="s">
        <v>19</v>
      </c>
      <c r="D231" s="37">
        <v>1</v>
      </c>
      <c r="E231" s="36">
        <v>0</v>
      </c>
      <c r="F231" s="36">
        <v>0</v>
      </c>
      <c r="G231" s="36">
        <v>0</v>
      </c>
      <c r="H231" s="41">
        <v>1</v>
      </c>
      <c r="I231" s="36">
        <v>0</v>
      </c>
      <c r="J231" s="36">
        <v>0</v>
      </c>
      <c r="K231" s="38">
        <v>570963.31000000006</v>
      </c>
    </row>
    <row r="232" spans="1:11">
      <c r="A232" s="39" t="s">
        <v>80</v>
      </c>
      <c r="B232" s="39" t="s">
        <v>16</v>
      </c>
      <c r="C232" s="39" t="s">
        <v>19</v>
      </c>
      <c r="D232" s="37">
        <v>1</v>
      </c>
      <c r="E232" s="39">
        <v>0</v>
      </c>
      <c r="F232" s="39">
        <v>0</v>
      </c>
      <c r="G232" s="39">
        <v>0</v>
      </c>
      <c r="H232" s="41">
        <v>1</v>
      </c>
      <c r="I232" s="39">
        <v>0</v>
      </c>
      <c r="J232" s="39">
        <v>0</v>
      </c>
      <c r="K232" s="40">
        <v>870937.4</v>
      </c>
    </row>
    <row r="233" spans="1:11">
      <c r="A233" s="36" t="s">
        <v>80</v>
      </c>
      <c r="B233" s="36" t="s">
        <v>16</v>
      </c>
      <c r="C233" s="36" t="s">
        <v>19</v>
      </c>
      <c r="D233" s="37">
        <v>1</v>
      </c>
      <c r="E233" s="36">
        <v>0</v>
      </c>
      <c r="F233" s="36">
        <v>0</v>
      </c>
      <c r="G233" s="36">
        <v>0</v>
      </c>
      <c r="H233" s="41">
        <v>1</v>
      </c>
      <c r="I233" s="36">
        <v>0</v>
      </c>
      <c r="J233" s="36">
        <v>0</v>
      </c>
      <c r="K233" s="38">
        <v>596969.27</v>
      </c>
    </row>
    <row r="234" spans="1:11">
      <c r="A234" s="39" t="s">
        <v>80</v>
      </c>
      <c r="B234" s="39" t="s">
        <v>16</v>
      </c>
      <c r="C234" s="39" t="s">
        <v>19</v>
      </c>
      <c r="D234" s="37">
        <v>1</v>
      </c>
      <c r="E234" s="39">
        <v>0</v>
      </c>
      <c r="F234" s="39">
        <v>0</v>
      </c>
      <c r="G234" s="39">
        <v>0</v>
      </c>
      <c r="H234" s="41">
        <v>1</v>
      </c>
      <c r="I234" s="39">
        <v>0</v>
      </c>
      <c r="J234" s="39">
        <v>0</v>
      </c>
      <c r="K234" s="40">
        <v>647512.85</v>
      </c>
    </row>
    <row r="235" spans="1:11">
      <c r="A235" s="36" t="s">
        <v>81</v>
      </c>
      <c r="B235" s="36" t="s">
        <v>28</v>
      </c>
      <c r="C235" s="36" t="s">
        <v>17</v>
      </c>
      <c r="D235" s="36">
        <v>0</v>
      </c>
      <c r="E235" s="36">
        <v>0</v>
      </c>
      <c r="F235" s="36">
        <v>0</v>
      </c>
      <c r="G235" s="36">
        <v>0</v>
      </c>
      <c r="H235" s="36">
        <v>0</v>
      </c>
      <c r="I235" s="36">
        <v>0</v>
      </c>
      <c r="J235" s="36">
        <v>0</v>
      </c>
      <c r="K235" s="38">
        <v>658072.14</v>
      </c>
    </row>
    <row r="236" spans="1:11">
      <c r="A236" s="39" t="s">
        <v>81</v>
      </c>
      <c r="B236" s="39" t="s">
        <v>28</v>
      </c>
      <c r="C236" s="39" t="s">
        <v>17</v>
      </c>
      <c r="D236" s="39">
        <v>0</v>
      </c>
      <c r="E236" s="39">
        <v>0</v>
      </c>
      <c r="F236" s="39">
        <v>0</v>
      </c>
      <c r="G236" s="39">
        <v>0</v>
      </c>
      <c r="H236" s="39">
        <v>0</v>
      </c>
      <c r="I236" s="39">
        <v>0</v>
      </c>
      <c r="J236" s="39">
        <v>0</v>
      </c>
      <c r="K236" s="40">
        <v>723305.11</v>
      </c>
    </row>
    <row r="237" spans="1:11">
      <c r="A237" s="36" t="s">
        <v>81</v>
      </c>
      <c r="B237" s="36" t="s">
        <v>28</v>
      </c>
      <c r="C237" s="36" t="s">
        <v>17</v>
      </c>
      <c r="D237" s="36">
        <v>0</v>
      </c>
      <c r="E237" s="36">
        <v>0</v>
      </c>
      <c r="F237" s="36">
        <v>0</v>
      </c>
      <c r="G237" s="36">
        <v>0</v>
      </c>
      <c r="H237" s="36">
        <v>0</v>
      </c>
      <c r="I237" s="36">
        <v>0</v>
      </c>
      <c r="J237" s="36">
        <v>0</v>
      </c>
      <c r="K237" s="38">
        <v>640666.53</v>
      </c>
    </row>
    <row r="238" spans="1:11">
      <c r="A238" s="39" t="s">
        <v>81</v>
      </c>
      <c r="B238" s="39" t="s">
        <v>28</v>
      </c>
      <c r="C238" s="39" t="s">
        <v>17</v>
      </c>
      <c r="D238" s="39">
        <v>0</v>
      </c>
      <c r="E238" s="39">
        <v>0</v>
      </c>
      <c r="F238" s="39">
        <v>0</v>
      </c>
      <c r="G238" s="39">
        <v>0</v>
      </c>
      <c r="H238" s="39">
        <v>0</v>
      </c>
      <c r="I238" s="39">
        <v>0</v>
      </c>
      <c r="J238" s="39">
        <v>0</v>
      </c>
      <c r="K238" s="40">
        <v>670629.48</v>
      </c>
    </row>
    <row r="239" spans="1:11">
      <c r="A239" s="36" t="s">
        <v>82</v>
      </c>
      <c r="B239" s="36" t="s">
        <v>28</v>
      </c>
      <c r="C239" s="36" t="s">
        <v>29</v>
      </c>
      <c r="D239" s="36">
        <v>0</v>
      </c>
      <c r="E239" s="36">
        <v>0</v>
      </c>
      <c r="F239" s="36">
        <v>0</v>
      </c>
      <c r="G239" s="36">
        <v>0</v>
      </c>
      <c r="H239" s="36">
        <v>0</v>
      </c>
      <c r="I239" s="41">
        <v>1</v>
      </c>
      <c r="J239" s="36">
        <v>0</v>
      </c>
      <c r="K239" s="38">
        <v>721079.35</v>
      </c>
    </row>
    <row r="240" spans="1:11">
      <c r="A240" s="39" t="s">
        <v>82</v>
      </c>
      <c r="B240" s="39" t="s">
        <v>28</v>
      </c>
      <c r="C240" s="39" t="s">
        <v>29</v>
      </c>
      <c r="D240" s="39">
        <v>0</v>
      </c>
      <c r="E240" s="39">
        <v>0</v>
      </c>
      <c r="F240" s="39">
        <v>0</v>
      </c>
      <c r="G240" s="39">
        <v>0</v>
      </c>
      <c r="H240" s="39">
        <v>0</v>
      </c>
      <c r="I240" s="41">
        <v>1</v>
      </c>
      <c r="J240" s="39">
        <v>0</v>
      </c>
      <c r="K240" s="40">
        <v>810355.02</v>
      </c>
    </row>
    <row r="241" spans="1:11">
      <c r="A241" s="36" t="s">
        <v>82</v>
      </c>
      <c r="B241" s="36" t="s">
        <v>28</v>
      </c>
      <c r="C241" s="36" t="s">
        <v>29</v>
      </c>
      <c r="D241" s="36">
        <v>0</v>
      </c>
      <c r="E241" s="36">
        <v>0</v>
      </c>
      <c r="F241" s="36">
        <v>0</v>
      </c>
      <c r="G241" s="36">
        <v>0</v>
      </c>
      <c r="H241" s="36">
        <v>0</v>
      </c>
      <c r="I241" s="41">
        <v>1</v>
      </c>
      <c r="J241" s="36">
        <v>0</v>
      </c>
      <c r="K241" s="38">
        <v>761919.25</v>
      </c>
    </row>
    <row r="242" spans="1:11">
      <c r="A242" s="39" t="s">
        <v>82</v>
      </c>
      <c r="B242" s="39" t="s">
        <v>28</v>
      </c>
      <c r="C242" s="39" t="s">
        <v>29</v>
      </c>
      <c r="D242" s="39">
        <v>0</v>
      </c>
      <c r="E242" s="39">
        <v>0</v>
      </c>
      <c r="F242" s="39">
        <v>0</v>
      </c>
      <c r="G242" s="39">
        <v>0</v>
      </c>
      <c r="H242" s="39">
        <v>0</v>
      </c>
      <c r="I242" s="41">
        <v>1</v>
      </c>
      <c r="J242" s="39">
        <v>0</v>
      </c>
      <c r="K242" s="40">
        <v>737070.18</v>
      </c>
    </row>
    <row r="243" spans="1:11">
      <c r="A243" s="36" t="s">
        <v>83</v>
      </c>
      <c r="B243" s="36" t="s">
        <v>25</v>
      </c>
      <c r="C243" s="36" t="s">
        <v>22</v>
      </c>
      <c r="D243" s="36">
        <v>0</v>
      </c>
      <c r="E243" s="36">
        <v>0</v>
      </c>
      <c r="F243" s="37">
        <v>1</v>
      </c>
      <c r="G243" s="41">
        <v>1</v>
      </c>
      <c r="H243" s="36">
        <v>0</v>
      </c>
      <c r="I243" s="36">
        <v>0</v>
      </c>
      <c r="J243" s="36">
        <v>1</v>
      </c>
      <c r="K243" s="38">
        <v>776992.93</v>
      </c>
    </row>
    <row r="244" spans="1:11">
      <c r="A244" s="39" t="s">
        <v>83</v>
      </c>
      <c r="B244" s="39" t="s">
        <v>25</v>
      </c>
      <c r="C244" s="39" t="s">
        <v>22</v>
      </c>
      <c r="D244" s="39">
        <v>0</v>
      </c>
      <c r="E244" s="39">
        <v>0</v>
      </c>
      <c r="F244" s="37">
        <v>1</v>
      </c>
      <c r="G244" s="41">
        <v>1</v>
      </c>
      <c r="H244" s="39">
        <v>0</v>
      </c>
      <c r="I244" s="39">
        <v>0</v>
      </c>
      <c r="J244" s="39">
        <v>0</v>
      </c>
      <c r="K244" s="40">
        <v>676337.41</v>
      </c>
    </row>
    <row r="245" spans="1:11">
      <c r="A245" s="36" t="s">
        <v>83</v>
      </c>
      <c r="B245" s="36" t="s">
        <v>25</v>
      </c>
      <c r="C245" s="36" t="s">
        <v>22</v>
      </c>
      <c r="D245" s="36">
        <v>0</v>
      </c>
      <c r="E245" s="36">
        <v>0</v>
      </c>
      <c r="F245" s="37">
        <v>1</v>
      </c>
      <c r="G245" s="41">
        <v>1</v>
      </c>
      <c r="H245" s="36">
        <v>0</v>
      </c>
      <c r="I245" s="36">
        <v>0</v>
      </c>
      <c r="J245" s="36">
        <v>0</v>
      </c>
      <c r="K245" s="38">
        <v>828219.67</v>
      </c>
    </row>
    <row r="246" spans="1:11">
      <c r="A246" s="39" t="s">
        <v>83</v>
      </c>
      <c r="B246" s="39" t="s">
        <v>25</v>
      </c>
      <c r="C246" s="39" t="s">
        <v>22</v>
      </c>
      <c r="D246" s="39">
        <v>0</v>
      </c>
      <c r="E246" s="39">
        <v>0</v>
      </c>
      <c r="F246" s="37">
        <v>1</v>
      </c>
      <c r="G246" s="41">
        <v>1</v>
      </c>
      <c r="H246" s="39">
        <v>0</v>
      </c>
      <c r="I246" s="39">
        <v>0</v>
      </c>
      <c r="J246" s="39">
        <v>0</v>
      </c>
      <c r="K246" s="40">
        <v>763159.92</v>
      </c>
    </row>
    <row r="247" spans="1:11">
      <c r="A247" s="36" t="s">
        <v>84</v>
      </c>
      <c r="B247" s="36" t="s">
        <v>16</v>
      </c>
      <c r="C247" s="36" t="s">
        <v>19</v>
      </c>
      <c r="D247" s="37">
        <v>1</v>
      </c>
      <c r="E247" s="36">
        <v>0</v>
      </c>
      <c r="F247" s="36">
        <v>0</v>
      </c>
      <c r="G247" s="36">
        <v>0</v>
      </c>
      <c r="H247" s="41">
        <v>1</v>
      </c>
      <c r="I247" s="36">
        <v>0</v>
      </c>
      <c r="J247" s="36">
        <v>0</v>
      </c>
      <c r="K247" s="38">
        <v>802001.68</v>
      </c>
    </row>
    <row r="248" spans="1:11">
      <c r="A248" s="39" t="s">
        <v>84</v>
      </c>
      <c r="B248" s="39" t="s">
        <v>16</v>
      </c>
      <c r="C248" s="39" t="s">
        <v>19</v>
      </c>
      <c r="D248" s="37">
        <v>1</v>
      </c>
      <c r="E248" s="39">
        <v>0</v>
      </c>
      <c r="F248" s="39">
        <v>0</v>
      </c>
      <c r="G248" s="39">
        <v>0</v>
      </c>
      <c r="H248" s="41">
        <v>1</v>
      </c>
      <c r="I248" s="39">
        <v>0</v>
      </c>
      <c r="J248" s="39">
        <v>0</v>
      </c>
      <c r="K248" s="40">
        <v>750471.34</v>
      </c>
    </row>
    <row r="249" spans="1:11">
      <c r="A249" s="36" t="s">
        <v>84</v>
      </c>
      <c r="B249" s="36" t="s">
        <v>16</v>
      </c>
      <c r="C249" s="36" t="s">
        <v>19</v>
      </c>
      <c r="D249" s="37">
        <v>1</v>
      </c>
      <c r="E249" s="36">
        <v>0</v>
      </c>
      <c r="F249" s="36">
        <v>0</v>
      </c>
      <c r="G249" s="36">
        <v>0</v>
      </c>
      <c r="H249" s="41">
        <v>1</v>
      </c>
      <c r="I249" s="36">
        <v>0</v>
      </c>
      <c r="J249" s="36">
        <v>0</v>
      </c>
      <c r="K249" s="38">
        <v>679230.86</v>
      </c>
    </row>
    <row r="250" spans="1:11">
      <c r="A250" s="39" t="s">
        <v>84</v>
      </c>
      <c r="B250" s="39" t="s">
        <v>16</v>
      </c>
      <c r="C250" s="39" t="s">
        <v>19</v>
      </c>
      <c r="D250" s="37">
        <v>1</v>
      </c>
      <c r="E250" s="39">
        <v>0</v>
      </c>
      <c r="F250" s="39">
        <v>0</v>
      </c>
      <c r="G250" s="39">
        <v>0</v>
      </c>
      <c r="H250" s="41">
        <v>1</v>
      </c>
      <c r="I250" s="39">
        <v>0</v>
      </c>
      <c r="J250" s="39">
        <v>0</v>
      </c>
      <c r="K250" s="40">
        <v>679888.74</v>
      </c>
    </row>
    <row r="251" spans="1:11">
      <c r="A251" s="36" t="s">
        <v>85</v>
      </c>
      <c r="B251" s="36" t="s">
        <v>21</v>
      </c>
      <c r="C251" s="36" t="s">
        <v>19</v>
      </c>
      <c r="D251" s="36">
        <v>0</v>
      </c>
      <c r="E251" s="37">
        <v>1</v>
      </c>
      <c r="F251" s="36">
        <v>0</v>
      </c>
      <c r="G251" s="36">
        <v>0</v>
      </c>
      <c r="H251" s="41">
        <v>1</v>
      </c>
      <c r="I251" s="36">
        <v>0</v>
      </c>
      <c r="J251" s="36">
        <v>0</v>
      </c>
      <c r="K251" s="38">
        <v>606783.67000000004</v>
      </c>
    </row>
    <row r="252" spans="1:11">
      <c r="A252" s="39" t="s">
        <v>85</v>
      </c>
      <c r="B252" s="39" t="s">
        <v>21</v>
      </c>
      <c r="C252" s="39" t="s">
        <v>19</v>
      </c>
      <c r="D252" s="39">
        <v>0</v>
      </c>
      <c r="E252" s="37">
        <v>1</v>
      </c>
      <c r="F252" s="39">
        <v>0</v>
      </c>
      <c r="G252" s="39">
        <v>0</v>
      </c>
      <c r="H252" s="41">
        <v>1</v>
      </c>
      <c r="I252" s="39">
        <v>0</v>
      </c>
      <c r="J252" s="39">
        <v>0</v>
      </c>
      <c r="K252" s="40">
        <v>642751.42000000004</v>
      </c>
    </row>
    <row r="253" spans="1:11">
      <c r="A253" s="36" t="s">
        <v>85</v>
      </c>
      <c r="B253" s="36" t="s">
        <v>21</v>
      </c>
      <c r="C253" s="36" t="s">
        <v>19</v>
      </c>
      <c r="D253" s="36">
        <v>0</v>
      </c>
      <c r="E253" s="37">
        <v>1</v>
      </c>
      <c r="F253" s="36">
        <v>0</v>
      </c>
      <c r="G253" s="36">
        <v>0</v>
      </c>
      <c r="H253" s="41">
        <v>1</v>
      </c>
      <c r="I253" s="36">
        <v>0</v>
      </c>
      <c r="J253" s="36">
        <v>0</v>
      </c>
      <c r="K253" s="38">
        <v>647953.78</v>
      </c>
    </row>
    <row r="254" spans="1:11">
      <c r="A254" s="39" t="s">
        <v>85</v>
      </c>
      <c r="B254" s="39" t="s">
        <v>21</v>
      </c>
      <c r="C254" s="39" t="s">
        <v>19</v>
      </c>
      <c r="D254" s="39">
        <v>0</v>
      </c>
      <c r="E254" s="37">
        <v>1</v>
      </c>
      <c r="F254" s="39">
        <v>0</v>
      </c>
      <c r="G254" s="39">
        <v>0</v>
      </c>
      <c r="H254" s="41">
        <v>1</v>
      </c>
      <c r="I254" s="39">
        <v>0</v>
      </c>
      <c r="J254" s="39">
        <v>0</v>
      </c>
      <c r="K254" s="40">
        <v>729440.45</v>
      </c>
    </row>
    <row r="255" spans="1:11">
      <c r="A255" s="36" t="s">
        <v>86</v>
      </c>
      <c r="B255" s="36" t="s">
        <v>25</v>
      </c>
      <c r="C255" s="36" t="s">
        <v>22</v>
      </c>
      <c r="D255" s="36">
        <v>0</v>
      </c>
      <c r="E255" s="36">
        <v>0</v>
      </c>
      <c r="F255" s="37">
        <v>1</v>
      </c>
      <c r="G255" s="41">
        <v>1</v>
      </c>
      <c r="H255" s="36">
        <v>0</v>
      </c>
      <c r="I255" s="36">
        <v>0</v>
      </c>
      <c r="J255" s="36">
        <v>0</v>
      </c>
      <c r="K255" s="38">
        <v>764949</v>
      </c>
    </row>
    <row r="256" spans="1:11">
      <c r="A256" s="39" t="s">
        <v>86</v>
      </c>
      <c r="B256" s="39" t="s">
        <v>25</v>
      </c>
      <c r="C256" s="39" t="s">
        <v>22</v>
      </c>
      <c r="D256" s="39">
        <v>0</v>
      </c>
      <c r="E256" s="39">
        <v>0</v>
      </c>
      <c r="F256" s="37">
        <v>1</v>
      </c>
      <c r="G256" s="41">
        <v>1</v>
      </c>
      <c r="H256" s="39">
        <v>0</v>
      </c>
      <c r="I256" s="39">
        <v>0</v>
      </c>
      <c r="J256" s="39">
        <v>0</v>
      </c>
      <c r="K256" s="40">
        <v>799046.94</v>
      </c>
    </row>
    <row r="257" spans="1:11">
      <c r="A257" s="36" t="s">
        <v>86</v>
      </c>
      <c r="B257" s="36" t="s">
        <v>25</v>
      </c>
      <c r="C257" s="36" t="s">
        <v>22</v>
      </c>
      <c r="D257" s="36">
        <v>0</v>
      </c>
      <c r="E257" s="36">
        <v>0</v>
      </c>
      <c r="F257" s="37">
        <v>1</v>
      </c>
      <c r="G257" s="41">
        <v>1</v>
      </c>
      <c r="H257" s="36">
        <v>0</v>
      </c>
      <c r="I257" s="36">
        <v>0</v>
      </c>
      <c r="J257" s="36">
        <v>0</v>
      </c>
      <c r="K257" s="38">
        <v>720079.54</v>
      </c>
    </row>
    <row r="258" spans="1:11">
      <c r="A258" s="39" t="s">
        <v>86</v>
      </c>
      <c r="B258" s="39" t="s">
        <v>25</v>
      </c>
      <c r="C258" s="39" t="s">
        <v>22</v>
      </c>
      <c r="D258" s="39">
        <v>0</v>
      </c>
      <c r="E258" s="39">
        <v>0</v>
      </c>
      <c r="F258" s="37">
        <v>1</v>
      </c>
      <c r="G258" s="41">
        <v>1</v>
      </c>
      <c r="H258" s="39">
        <v>0</v>
      </c>
      <c r="I258" s="39">
        <v>0</v>
      </c>
      <c r="J258" s="39">
        <v>0</v>
      </c>
      <c r="K258" s="40">
        <v>612390.14</v>
      </c>
    </row>
    <row r="259" spans="1:11">
      <c r="A259" s="36" t="s">
        <v>87</v>
      </c>
      <c r="B259" s="36" t="s">
        <v>25</v>
      </c>
      <c r="C259" s="36" t="s">
        <v>29</v>
      </c>
      <c r="D259" s="36">
        <v>0</v>
      </c>
      <c r="E259" s="36">
        <v>0</v>
      </c>
      <c r="F259" s="37">
        <v>1</v>
      </c>
      <c r="G259" s="36">
        <v>0</v>
      </c>
      <c r="H259" s="36">
        <v>0</v>
      </c>
      <c r="I259" s="41">
        <v>1</v>
      </c>
      <c r="J259" s="36">
        <v>1</v>
      </c>
      <c r="K259" s="38">
        <v>840108.12</v>
      </c>
    </row>
    <row r="260" spans="1:11">
      <c r="A260" s="39" t="s">
        <v>87</v>
      </c>
      <c r="B260" s="39" t="s">
        <v>25</v>
      </c>
      <c r="C260" s="39" t="s">
        <v>29</v>
      </c>
      <c r="D260" s="39">
        <v>0</v>
      </c>
      <c r="E260" s="39">
        <v>0</v>
      </c>
      <c r="F260" s="37">
        <v>1</v>
      </c>
      <c r="G260" s="39">
        <v>0</v>
      </c>
      <c r="H260" s="39">
        <v>0</v>
      </c>
      <c r="I260" s="41">
        <v>1</v>
      </c>
      <c r="J260" s="39">
        <v>0</v>
      </c>
      <c r="K260" s="40">
        <v>697888.09</v>
      </c>
    </row>
    <row r="261" spans="1:11">
      <c r="A261" s="36" t="s">
        <v>87</v>
      </c>
      <c r="B261" s="36" t="s">
        <v>25</v>
      </c>
      <c r="C261" s="36" t="s">
        <v>29</v>
      </c>
      <c r="D261" s="36">
        <v>0</v>
      </c>
      <c r="E261" s="36">
        <v>0</v>
      </c>
      <c r="F261" s="37">
        <v>1</v>
      </c>
      <c r="G261" s="36">
        <v>0</v>
      </c>
      <c r="H261" s="36">
        <v>0</v>
      </c>
      <c r="I261" s="41">
        <v>1</v>
      </c>
      <c r="J261" s="36">
        <v>0</v>
      </c>
      <c r="K261" s="38">
        <v>746115.59</v>
      </c>
    </row>
    <row r="262" spans="1:11">
      <c r="A262" s="39" t="s">
        <v>87</v>
      </c>
      <c r="B262" s="39" t="s">
        <v>25</v>
      </c>
      <c r="C262" s="39" t="s">
        <v>29</v>
      </c>
      <c r="D262" s="39">
        <v>0</v>
      </c>
      <c r="E262" s="39">
        <v>0</v>
      </c>
      <c r="F262" s="37">
        <v>1</v>
      </c>
      <c r="G262" s="39">
        <v>0</v>
      </c>
      <c r="H262" s="39">
        <v>0</v>
      </c>
      <c r="I262" s="41">
        <v>1</v>
      </c>
      <c r="J262" s="39">
        <v>0</v>
      </c>
      <c r="K262" s="40">
        <v>776110.32</v>
      </c>
    </row>
    <row r="263" spans="1:11">
      <c r="A263" s="36" t="s">
        <v>88</v>
      </c>
      <c r="B263" s="36" t="s">
        <v>28</v>
      </c>
      <c r="C263" s="36" t="s">
        <v>19</v>
      </c>
      <c r="D263" s="36">
        <v>0</v>
      </c>
      <c r="E263" s="36">
        <v>0</v>
      </c>
      <c r="F263" s="36">
        <v>0</v>
      </c>
      <c r="G263" s="36">
        <v>0</v>
      </c>
      <c r="H263" s="41">
        <v>1</v>
      </c>
      <c r="I263" s="36">
        <v>0</v>
      </c>
      <c r="J263" s="36">
        <v>0</v>
      </c>
      <c r="K263" s="38">
        <v>528852.62</v>
      </c>
    </row>
    <row r="264" spans="1:11">
      <c r="A264" s="39" t="s">
        <v>88</v>
      </c>
      <c r="B264" s="39" t="s">
        <v>28</v>
      </c>
      <c r="C264" s="39" t="s">
        <v>19</v>
      </c>
      <c r="D264" s="39">
        <v>0</v>
      </c>
      <c r="E264" s="39">
        <v>0</v>
      </c>
      <c r="F264" s="39">
        <v>0</v>
      </c>
      <c r="G264" s="39">
        <v>0</v>
      </c>
      <c r="H264" s="41">
        <v>1</v>
      </c>
      <c r="I264" s="39">
        <v>0</v>
      </c>
      <c r="J264" s="39">
        <v>0</v>
      </c>
      <c r="K264" s="40">
        <v>605751.32999999996</v>
      </c>
    </row>
    <row r="265" spans="1:11">
      <c r="A265" s="36" t="s">
        <v>88</v>
      </c>
      <c r="B265" s="36" t="s">
        <v>28</v>
      </c>
      <c r="C265" s="36" t="s">
        <v>19</v>
      </c>
      <c r="D265" s="36">
        <v>0</v>
      </c>
      <c r="E265" s="36">
        <v>0</v>
      </c>
      <c r="F265" s="36">
        <v>0</v>
      </c>
      <c r="G265" s="36">
        <v>0</v>
      </c>
      <c r="H265" s="41">
        <v>1</v>
      </c>
      <c r="I265" s="36">
        <v>0</v>
      </c>
      <c r="J265" s="36">
        <v>1</v>
      </c>
      <c r="K265" s="38">
        <v>677640.65</v>
      </c>
    </row>
    <row r="266" spans="1:11">
      <c r="A266" s="39" t="s">
        <v>88</v>
      </c>
      <c r="B266" s="39" t="s">
        <v>28</v>
      </c>
      <c r="C266" s="39" t="s">
        <v>19</v>
      </c>
      <c r="D266" s="39">
        <v>0</v>
      </c>
      <c r="E266" s="39">
        <v>0</v>
      </c>
      <c r="F266" s="39">
        <v>0</v>
      </c>
      <c r="G266" s="39">
        <v>0</v>
      </c>
      <c r="H266" s="41">
        <v>1</v>
      </c>
      <c r="I266" s="39">
        <v>0</v>
      </c>
      <c r="J266" s="39">
        <v>0</v>
      </c>
      <c r="K266" s="40">
        <v>636613.23</v>
      </c>
    </row>
    <row r="267" spans="1:11">
      <c r="A267" s="36" t="s">
        <v>89</v>
      </c>
      <c r="B267" s="36" t="s">
        <v>16</v>
      </c>
      <c r="C267" s="36" t="s">
        <v>19</v>
      </c>
      <c r="D267" s="37">
        <v>1</v>
      </c>
      <c r="E267" s="36">
        <v>0</v>
      </c>
      <c r="F267" s="36">
        <v>0</v>
      </c>
      <c r="G267" s="36">
        <v>0</v>
      </c>
      <c r="H267" s="41">
        <v>1</v>
      </c>
      <c r="I267" s="36">
        <v>0</v>
      </c>
      <c r="J267" s="36">
        <v>0</v>
      </c>
      <c r="K267" s="38">
        <v>708985.19</v>
      </c>
    </row>
    <row r="268" spans="1:11">
      <c r="A268" s="39" t="s">
        <v>89</v>
      </c>
      <c r="B268" s="39" t="s">
        <v>16</v>
      </c>
      <c r="C268" s="39" t="s">
        <v>19</v>
      </c>
      <c r="D268" s="37">
        <v>1</v>
      </c>
      <c r="E268" s="39">
        <v>0</v>
      </c>
      <c r="F268" s="39">
        <v>0</v>
      </c>
      <c r="G268" s="39">
        <v>0</v>
      </c>
      <c r="H268" s="41">
        <v>1</v>
      </c>
      <c r="I268" s="39">
        <v>0</v>
      </c>
      <c r="J268" s="39">
        <v>0</v>
      </c>
      <c r="K268" s="40">
        <v>767792.94</v>
      </c>
    </row>
    <row r="269" spans="1:11">
      <c r="A269" s="36" t="s">
        <v>89</v>
      </c>
      <c r="B269" s="36" t="s">
        <v>16</v>
      </c>
      <c r="C269" s="36" t="s">
        <v>19</v>
      </c>
      <c r="D269" s="37">
        <v>1</v>
      </c>
      <c r="E269" s="36">
        <v>0</v>
      </c>
      <c r="F269" s="36">
        <v>0</v>
      </c>
      <c r="G269" s="36">
        <v>0</v>
      </c>
      <c r="H269" s="41">
        <v>1</v>
      </c>
      <c r="I269" s="36">
        <v>0</v>
      </c>
      <c r="J269" s="36">
        <v>0</v>
      </c>
      <c r="K269" s="38">
        <v>745580.51</v>
      </c>
    </row>
    <row r="270" spans="1:11">
      <c r="A270" s="39" t="s">
        <v>89</v>
      </c>
      <c r="B270" s="39" t="s">
        <v>16</v>
      </c>
      <c r="C270" s="39" t="s">
        <v>19</v>
      </c>
      <c r="D270" s="37">
        <v>1</v>
      </c>
      <c r="E270" s="39">
        <v>0</v>
      </c>
      <c r="F270" s="39">
        <v>0</v>
      </c>
      <c r="G270" s="39">
        <v>0</v>
      </c>
      <c r="H270" s="41">
        <v>1</v>
      </c>
      <c r="I270" s="39">
        <v>0</v>
      </c>
      <c r="J270" s="39">
        <v>0</v>
      </c>
      <c r="K270" s="40">
        <v>762328.31</v>
      </c>
    </row>
    <row r="271" spans="1:11">
      <c r="A271" s="36" t="s">
        <v>90</v>
      </c>
      <c r="B271" s="36" t="s">
        <v>16</v>
      </c>
      <c r="C271" s="36" t="s">
        <v>29</v>
      </c>
      <c r="D271" s="37">
        <v>1</v>
      </c>
      <c r="E271" s="36">
        <v>0</v>
      </c>
      <c r="F271" s="36">
        <v>0</v>
      </c>
      <c r="G271" s="36">
        <v>0</v>
      </c>
      <c r="H271" s="36">
        <v>0</v>
      </c>
      <c r="I271" s="41">
        <v>1</v>
      </c>
      <c r="J271" s="36">
        <v>0</v>
      </c>
      <c r="K271" s="38">
        <v>660633.99</v>
      </c>
    </row>
    <row r="272" spans="1:11">
      <c r="A272" s="39" t="s">
        <v>90</v>
      </c>
      <c r="B272" s="39" t="s">
        <v>16</v>
      </c>
      <c r="C272" s="39" t="s">
        <v>29</v>
      </c>
      <c r="D272" s="37">
        <v>1</v>
      </c>
      <c r="E272" s="39">
        <v>0</v>
      </c>
      <c r="F272" s="39">
        <v>0</v>
      </c>
      <c r="G272" s="39">
        <v>0</v>
      </c>
      <c r="H272" s="39">
        <v>0</v>
      </c>
      <c r="I272" s="41">
        <v>1</v>
      </c>
      <c r="J272" s="39">
        <v>0</v>
      </c>
      <c r="K272" s="40">
        <v>739374.56</v>
      </c>
    </row>
    <row r="273" spans="1:11">
      <c r="A273" s="36" t="s">
        <v>90</v>
      </c>
      <c r="B273" s="36" t="s">
        <v>16</v>
      </c>
      <c r="C273" s="36" t="s">
        <v>29</v>
      </c>
      <c r="D273" s="37">
        <v>1</v>
      </c>
      <c r="E273" s="36">
        <v>0</v>
      </c>
      <c r="F273" s="36">
        <v>0</v>
      </c>
      <c r="G273" s="36">
        <v>0</v>
      </c>
      <c r="H273" s="36">
        <v>0</v>
      </c>
      <c r="I273" s="41">
        <v>1</v>
      </c>
      <c r="J273" s="36">
        <v>1</v>
      </c>
      <c r="K273" s="38">
        <v>799756.46</v>
      </c>
    </row>
    <row r="274" spans="1:11">
      <c r="A274" s="39" t="s">
        <v>90</v>
      </c>
      <c r="B274" s="39" t="s">
        <v>16</v>
      </c>
      <c r="C274" s="39" t="s">
        <v>29</v>
      </c>
      <c r="D274" s="37">
        <v>1</v>
      </c>
      <c r="E274" s="39">
        <v>0</v>
      </c>
      <c r="F274" s="39">
        <v>0</v>
      </c>
      <c r="G274" s="39">
        <v>0</v>
      </c>
      <c r="H274" s="39">
        <v>0</v>
      </c>
      <c r="I274" s="41">
        <v>1</v>
      </c>
      <c r="J274" s="39">
        <v>0</v>
      </c>
      <c r="K274" s="40">
        <v>593343</v>
      </c>
    </row>
    <row r="275" spans="1:11">
      <c r="A275" s="36" t="s">
        <v>91</v>
      </c>
      <c r="B275" s="36" t="s">
        <v>28</v>
      </c>
      <c r="C275" s="36" t="s">
        <v>19</v>
      </c>
      <c r="D275" s="36">
        <v>0</v>
      </c>
      <c r="E275" s="36">
        <v>0</v>
      </c>
      <c r="F275" s="36">
        <v>0</v>
      </c>
      <c r="G275" s="36">
        <v>0</v>
      </c>
      <c r="H275" s="41">
        <v>1</v>
      </c>
      <c r="I275" s="36">
        <v>0</v>
      </c>
      <c r="J275" s="36">
        <v>0</v>
      </c>
      <c r="K275" s="38">
        <v>645039.97</v>
      </c>
    </row>
    <row r="276" spans="1:11">
      <c r="A276" s="39" t="s">
        <v>91</v>
      </c>
      <c r="B276" s="39" t="s">
        <v>28</v>
      </c>
      <c r="C276" s="39" t="s">
        <v>19</v>
      </c>
      <c r="D276" s="39">
        <v>0</v>
      </c>
      <c r="E276" s="39">
        <v>0</v>
      </c>
      <c r="F276" s="39">
        <v>0</v>
      </c>
      <c r="G276" s="39">
        <v>0</v>
      </c>
      <c r="H276" s="41">
        <v>1</v>
      </c>
      <c r="I276" s="39">
        <v>0</v>
      </c>
      <c r="J276" s="39">
        <v>0</v>
      </c>
      <c r="K276" s="40">
        <v>561597.32999999996</v>
      </c>
    </row>
    <row r="277" spans="1:11">
      <c r="A277" s="36" t="s">
        <v>91</v>
      </c>
      <c r="B277" s="36" t="s">
        <v>28</v>
      </c>
      <c r="C277" s="36" t="s">
        <v>19</v>
      </c>
      <c r="D277" s="36">
        <v>0</v>
      </c>
      <c r="E277" s="36">
        <v>0</v>
      </c>
      <c r="F277" s="36">
        <v>0</v>
      </c>
      <c r="G277" s="36">
        <v>0</v>
      </c>
      <c r="H277" s="41">
        <v>1</v>
      </c>
      <c r="I277" s="36">
        <v>0</v>
      </c>
      <c r="J277" s="36">
        <v>0</v>
      </c>
      <c r="K277" s="38">
        <v>635837.74</v>
      </c>
    </row>
    <row r="278" spans="1:11">
      <c r="A278" s="39" t="s">
        <v>91</v>
      </c>
      <c r="B278" s="39" t="s">
        <v>28</v>
      </c>
      <c r="C278" s="39" t="s">
        <v>19</v>
      </c>
      <c r="D278" s="39">
        <v>0</v>
      </c>
      <c r="E278" s="39">
        <v>0</v>
      </c>
      <c r="F278" s="39">
        <v>0</v>
      </c>
      <c r="G278" s="39">
        <v>0</v>
      </c>
      <c r="H278" s="41">
        <v>1</v>
      </c>
      <c r="I278" s="39">
        <v>0</v>
      </c>
      <c r="J278" s="39">
        <v>0</v>
      </c>
      <c r="K278" s="40">
        <v>686737.87</v>
      </c>
    </row>
    <row r="279" spans="1:11">
      <c r="A279" s="36" t="s">
        <v>92</v>
      </c>
      <c r="B279" s="36" t="s">
        <v>25</v>
      </c>
      <c r="C279" s="36" t="s">
        <v>17</v>
      </c>
      <c r="D279" s="36">
        <v>0</v>
      </c>
      <c r="E279" s="36">
        <v>0</v>
      </c>
      <c r="F279" s="37">
        <v>1</v>
      </c>
      <c r="G279" s="36">
        <v>0</v>
      </c>
      <c r="H279" s="36">
        <v>0</v>
      </c>
      <c r="I279" s="36">
        <v>0</v>
      </c>
      <c r="J279" s="36">
        <v>1</v>
      </c>
      <c r="K279" s="38">
        <v>673076.34</v>
      </c>
    </row>
    <row r="280" spans="1:11">
      <c r="A280" s="39" t="s">
        <v>92</v>
      </c>
      <c r="B280" s="39" t="s">
        <v>25</v>
      </c>
      <c r="C280" s="39" t="s">
        <v>17</v>
      </c>
      <c r="D280" s="39">
        <v>0</v>
      </c>
      <c r="E280" s="39">
        <v>0</v>
      </c>
      <c r="F280" s="37">
        <v>1</v>
      </c>
      <c r="G280" s="39">
        <v>0</v>
      </c>
      <c r="H280" s="39">
        <v>0</v>
      </c>
      <c r="I280" s="39">
        <v>0</v>
      </c>
      <c r="J280" s="39">
        <v>0</v>
      </c>
      <c r="K280" s="40">
        <v>738548.42</v>
      </c>
    </row>
    <row r="281" spans="1:11">
      <c r="A281" s="36" t="s">
        <v>92</v>
      </c>
      <c r="B281" s="36" t="s">
        <v>25</v>
      </c>
      <c r="C281" s="36" t="s">
        <v>17</v>
      </c>
      <c r="D281" s="36">
        <v>0</v>
      </c>
      <c r="E281" s="36">
        <v>0</v>
      </c>
      <c r="F281" s="37">
        <v>1</v>
      </c>
      <c r="G281" s="36">
        <v>0</v>
      </c>
      <c r="H281" s="36">
        <v>0</v>
      </c>
      <c r="I281" s="36">
        <v>0</v>
      </c>
      <c r="J281" s="36">
        <v>0</v>
      </c>
      <c r="K281" s="38">
        <v>756619.77</v>
      </c>
    </row>
    <row r="282" spans="1:11">
      <c r="A282" s="39" t="s">
        <v>92</v>
      </c>
      <c r="B282" s="39" t="s">
        <v>25</v>
      </c>
      <c r="C282" s="39" t="s">
        <v>17</v>
      </c>
      <c r="D282" s="39">
        <v>0</v>
      </c>
      <c r="E282" s="39">
        <v>0</v>
      </c>
      <c r="F282" s="37">
        <v>1</v>
      </c>
      <c r="G282" s="39">
        <v>0</v>
      </c>
      <c r="H282" s="39">
        <v>0</v>
      </c>
      <c r="I282" s="39">
        <v>0</v>
      </c>
      <c r="J282" s="39">
        <v>0</v>
      </c>
      <c r="K282" s="40">
        <v>761122.42</v>
      </c>
    </row>
    <row r="283" spans="1:11">
      <c r="A283" s="36" t="s">
        <v>93</v>
      </c>
      <c r="B283" s="36" t="s">
        <v>25</v>
      </c>
      <c r="C283" s="36" t="s">
        <v>19</v>
      </c>
      <c r="D283" s="36">
        <v>0</v>
      </c>
      <c r="E283" s="36">
        <v>0</v>
      </c>
      <c r="F283" s="37">
        <v>1</v>
      </c>
      <c r="G283" s="36">
        <v>0</v>
      </c>
      <c r="H283" s="41">
        <v>1</v>
      </c>
      <c r="I283" s="36">
        <v>0</v>
      </c>
      <c r="J283" s="36">
        <v>1</v>
      </c>
      <c r="K283" s="38">
        <v>524899.56999999995</v>
      </c>
    </row>
    <row r="284" spans="1:11">
      <c r="A284" s="39" t="s">
        <v>93</v>
      </c>
      <c r="B284" s="39" t="s">
        <v>25</v>
      </c>
      <c r="C284" s="39" t="s">
        <v>19</v>
      </c>
      <c r="D284" s="39">
        <v>0</v>
      </c>
      <c r="E284" s="39">
        <v>0</v>
      </c>
      <c r="F284" s="37">
        <v>1</v>
      </c>
      <c r="G284" s="39">
        <v>0</v>
      </c>
      <c r="H284" s="41">
        <v>1</v>
      </c>
      <c r="I284" s="39">
        <v>0</v>
      </c>
      <c r="J284" s="39">
        <v>0</v>
      </c>
      <c r="K284" s="40">
        <v>555557.77</v>
      </c>
    </row>
    <row r="285" spans="1:11">
      <c r="A285" s="36" t="s">
        <v>93</v>
      </c>
      <c r="B285" s="36" t="s">
        <v>25</v>
      </c>
      <c r="C285" s="36" t="s">
        <v>19</v>
      </c>
      <c r="D285" s="36">
        <v>0</v>
      </c>
      <c r="E285" s="36">
        <v>0</v>
      </c>
      <c r="F285" s="37">
        <v>1</v>
      </c>
      <c r="G285" s="36">
        <v>0</v>
      </c>
      <c r="H285" s="41">
        <v>1</v>
      </c>
      <c r="I285" s="36">
        <v>0</v>
      </c>
      <c r="J285" s="36">
        <v>0</v>
      </c>
      <c r="K285" s="38">
        <v>714083.68</v>
      </c>
    </row>
    <row r="286" spans="1:11">
      <c r="A286" s="39" t="s">
        <v>93</v>
      </c>
      <c r="B286" s="39" t="s">
        <v>25</v>
      </c>
      <c r="C286" s="39" t="s">
        <v>19</v>
      </c>
      <c r="D286" s="39">
        <v>0</v>
      </c>
      <c r="E286" s="39">
        <v>0</v>
      </c>
      <c r="F286" s="37">
        <v>1</v>
      </c>
      <c r="G286" s="39">
        <v>0</v>
      </c>
      <c r="H286" s="41">
        <v>1</v>
      </c>
      <c r="I286" s="39">
        <v>0</v>
      </c>
      <c r="J286" s="39">
        <v>0</v>
      </c>
      <c r="K286" s="40">
        <v>497439.82</v>
      </c>
    </row>
    <row r="287" spans="1:11">
      <c r="A287" s="36" t="s">
        <v>94</v>
      </c>
      <c r="B287" s="36" t="s">
        <v>28</v>
      </c>
      <c r="C287" s="36" t="s">
        <v>17</v>
      </c>
      <c r="D287" s="36">
        <v>0</v>
      </c>
      <c r="E287" s="36">
        <v>0</v>
      </c>
      <c r="F287" s="36">
        <v>0</v>
      </c>
      <c r="G287" s="36">
        <v>0</v>
      </c>
      <c r="H287" s="36">
        <v>0</v>
      </c>
      <c r="I287" s="36">
        <v>0</v>
      </c>
      <c r="J287" s="36">
        <v>1</v>
      </c>
      <c r="K287" s="38">
        <v>636775.66</v>
      </c>
    </row>
    <row r="288" spans="1:11">
      <c r="A288" s="39" t="s">
        <v>94</v>
      </c>
      <c r="B288" s="39" t="s">
        <v>28</v>
      </c>
      <c r="C288" s="39" t="s">
        <v>17</v>
      </c>
      <c r="D288" s="39">
        <v>0</v>
      </c>
      <c r="E288" s="39">
        <v>0</v>
      </c>
      <c r="F288" s="39">
        <v>0</v>
      </c>
      <c r="G288" s="39">
        <v>0</v>
      </c>
      <c r="H288" s="39">
        <v>0</v>
      </c>
      <c r="I288" s="39">
        <v>0</v>
      </c>
      <c r="J288" s="39">
        <v>0</v>
      </c>
      <c r="K288" s="40">
        <v>633009.53</v>
      </c>
    </row>
    <row r="289" spans="1:11">
      <c r="A289" s="36" t="s">
        <v>94</v>
      </c>
      <c r="B289" s="36" t="s">
        <v>28</v>
      </c>
      <c r="C289" s="36" t="s">
        <v>17</v>
      </c>
      <c r="D289" s="36">
        <v>0</v>
      </c>
      <c r="E289" s="36">
        <v>0</v>
      </c>
      <c r="F289" s="36">
        <v>0</v>
      </c>
      <c r="G289" s="36">
        <v>0</v>
      </c>
      <c r="H289" s="36">
        <v>0</v>
      </c>
      <c r="I289" s="36">
        <v>0</v>
      </c>
      <c r="J289" s="36">
        <v>1</v>
      </c>
      <c r="K289" s="38">
        <v>609949</v>
      </c>
    </row>
    <row r="290" spans="1:11">
      <c r="A290" s="39" t="s">
        <v>94</v>
      </c>
      <c r="B290" s="39" t="s">
        <v>28</v>
      </c>
      <c r="C290" s="39" t="s">
        <v>17</v>
      </c>
      <c r="D290" s="39">
        <v>0</v>
      </c>
      <c r="E290" s="39">
        <v>0</v>
      </c>
      <c r="F290" s="39">
        <v>0</v>
      </c>
      <c r="G290" s="39">
        <v>0</v>
      </c>
      <c r="H290" s="39">
        <v>0</v>
      </c>
      <c r="I290" s="39">
        <v>0</v>
      </c>
      <c r="J290" s="39">
        <v>0</v>
      </c>
      <c r="K290" s="40">
        <v>548103.69999999995</v>
      </c>
    </row>
    <row r="291" spans="1:11">
      <c r="A291" s="36" t="s">
        <v>95</v>
      </c>
      <c r="B291" s="36" t="s">
        <v>16</v>
      </c>
      <c r="C291" s="36" t="s">
        <v>17</v>
      </c>
      <c r="D291" s="37">
        <v>1</v>
      </c>
      <c r="E291" s="36">
        <v>0</v>
      </c>
      <c r="F291" s="36">
        <v>0</v>
      </c>
      <c r="G291" s="36">
        <v>0</v>
      </c>
      <c r="H291" s="36">
        <v>0</v>
      </c>
      <c r="I291" s="36">
        <v>0</v>
      </c>
      <c r="J291" s="36">
        <v>0</v>
      </c>
      <c r="K291" s="38">
        <v>729424.42</v>
      </c>
    </row>
    <row r="292" spans="1:11">
      <c r="A292" s="39" t="s">
        <v>95</v>
      </c>
      <c r="B292" s="39" t="s">
        <v>16</v>
      </c>
      <c r="C292" s="39" t="s">
        <v>17</v>
      </c>
      <c r="D292" s="37">
        <v>1</v>
      </c>
      <c r="E292" s="39">
        <v>0</v>
      </c>
      <c r="F292" s="39">
        <v>0</v>
      </c>
      <c r="G292" s="39">
        <v>0</v>
      </c>
      <c r="H292" s="39">
        <v>0</v>
      </c>
      <c r="I292" s="39">
        <v>0</v>
      </c>
      <c r="J292" s="39">
        <v>0</v>
      </c>
      <c r="K292" s="40">
        <v>696261.49</v>
      </c>
    </row>
    <row r="293" spans="1:11">
      <c r="A293" s="36" t="s">
        <v>95</v>
      </c>
      <c r="B293" s="36" t="s">
        <v>16</v>
      </c>
      <c r="C293" s="36" t="s">
        <v>17</v>
      </c>
      <c r="D293" s="37">
        <v>1</v>
      </c>
      <c r="E293" s="36">
        <v>0</v>
      </c>
      <c r="F293" s="36">
        <v>0</v>
      </c>
      <c r="G293" s="36">
        <v>0</v>
      </c>
      <c r="H293" s="36">
        <v>0</v>
      </c>
      <c r="I293" s="36">
        <v>0</v>
      </c>
      <c r="J293" s="36">
        <v>1</v>
      </c>
      <c r="K293" s="38">
        <v>813316.71</v>
      </c>
    </row>
    <row r="294" spans="1:11">
      <c r="A294" s="39" t="s">
        <v>95</v>
      </c>
      <c r="B294" s="39" t="s">
        <v>16</v>
      </c>
      <c r="C294" s="39" t="s">
        <v>17</v>
      </c>
      <c r="D294" s="37">
        <v>1</v>
      </c>
      <c r="E294" s="39">
        <v>0</v>
      </c>
      <c r="F294" s="39">
        <v>0</v>
      </c>
      <c r="G294" s="39">
        <v>0</v>
      </c>
      <c r="H294" s="39">
        <v>0</v>
      </c>
      <c r="I294" s="39">
        <v>0</v>
      </c>
      <c r="J294" s="39">
        <v>0</v>
      </c>
      <c r="K294" s="40">
        <v>702068.92</v>
      </c>
    </row>
    <row r="295" spans="1:11">
      <c r="A295" s="36" t="s">
        <v>96</v>
      </c>
      <c r="B295" s="36" t="s">
        <v>28</v>
      </c>
      <c r="C295" s="36" t="s">
        <v>19</v>
      </c>
      <c r="D295" s="36">
        <v>0</v>
      </c>
      <c r="E295" s="36">
        <v>0</v>
      </c>
      <c r="F295" s="36">
        <v>0</v>
      </c>
      <c r="G295" s="36">
        <v>0</v>
      </c>
      <c r="H295" s="41">
        <v>1</v>
      </c>
      <c r="I295" s="36">
        <v>0</v>
      </c>
      <c r="J295" s="36">
        <v>0</v>
      </c>
      <c r="K295" s="38">
        <v>546223.69999999995</v>
      </c>
    </row>
    <row r="296" spans="1:11">
      <c r="A296" s="39" t="s">
        <v>96</v>
      </c>
      <c r="B296" s="39" t="s">
        <v>28</v>
      </c>
      <c r="C296" s="39" t="s">
        <v>19</v>
      </c>
      <c r="D296" s="39">
        <v>0</v>
      </c>
      <c r="E296" s="39">
        <v>0</v>
      </c>
      <c r="F296" s="39">
        <v>0</v>
      </c>
      <c r="G296" s="39">
        <v>0</v>
      </c>
      <c r="H296" s="41">
        <v>1</v>
      </c>
      <c r="I296" s="39">
        <v>0</v>
      </c>
      <c r="J296" s="39">
        <v>0</v>
      </c>
      <c r="K296" s="40">
        <v>533121.26</v>
      </c>
    </row>
    <row r="297" spans="1:11">
      <c r="A297" s="36" t="s">
        <v>96</v>
      </c>
      <c r="B297" s="36" t="s">
        <v>28</v>
      </c>
      <c r="C297" s="36" t="s">
        <v>19</v>
      </c>
      <c r="D297" s="36">
        <v>0</v>
      </c>
      <c r="E297" s="36">
        <v>0</v>
      </c>
      <c r="F297" s="36">
        <v>0</v>
      </c>
      <c r="G297" s="36">
        <v>0</v>
      </c>
      <c r="H297" s="41">
        <v>1</v>
      </c>
      <c r="I297" s="36">
        <v>0</v>
      </c>
      <c r="J297" s="36">
        <v>0</v>
      </c>
      <c r="K297" s="38">
        <v>498970.32</v>
      </c>
    </row>
    <row r="298" spans="1:11">
      <c r="A298" s="39" t="s">
        <v>96</v>
      </c>
      <c r="B298" s="39" t="s">
        <v>28</v>
      </c>
      <c r="C298" s="39" t="s">
        <v>19</v>
      </c>
      <c r="D298" s="39">
        <v>0</v>
      </c>
      <c r="E298" s="39">
        <v>0</v>
      </c>
      <c r="F298" s="39">
        <v>0</v>
      </c>
      <c r="G298" s="39">
        <v>0</v>
      </c>
      <c r="H298" s="41">
        <v>1</v>
      </c>
      <c r="I298" s="39">
        <v>0</v>
      </c>
      <c r="J298" s="39">
        <v>0</v>
      </c>
      <c r="K298" s="40">
        <v>487738.26</v>
      </c>
    </row>
    <row r="299" spans="1:11">
      <c r="A299" s="36" t="s">
        <v>97</v>
      </c>
      <c r="B299" s="36" t="s">
        <v>28</v>
      </c>
      <c r="C299" s="36" t="s">
        <v>19</v>
      </c>
      <c r="D299" s="36">
        <v>0</v>
      </c>
      <c r="E299" s="36">
        <v>0</v>
      </c>
      <c r="F299" s="36">
        <v>0</v>
      </c>
      <c r="G299" s="36">
        <v>0</v>
      </c>
      <c r="H299" s="41">
        <v>1</v>
      </c>
      <c r="I299" s="36">
        <v>0</v>
      </c>
      <c r="J299" s="36">
        <v>0</v>
      </c>
      <c r="K299" s="38">
        <v>668459.37</v>
      </c>
    </row>
    <row r="300" spans="1:11">
      <c r="A300" s="39" t="s">
        <v>97</v>
      </c>
      <c r="B300" s="39" t="s">
        <v>28</v>
      </c>
      <c r="C300" s="39" t="s">
        <v>19</v>
      </c>
      <c r="D300" s="39">
        <v>0</v>
      </c>
      <c r="E300" s="39">
        <v>0</v>
      </c>
      <c r="F300" s="39">
        <v>0</v>
      </c>
      <c r="G300" s="39">
        <v>0</v>
      </c>
      <c r="H300" s="41">
        <v>1</v>
      </c>
      <c r="I300" s="39">
        <v>0</v>
      </c>
      <c r="J300" s="39">
        <v>0</v>
      </c>
      <c r="K300" s="40">
        <v>763162.45</v>
      </c>
    </row>
    <row r="301" spans="1:11">
      <c r="A301" s="36" t="s">
        <v>97</v>
      </c>
      <c r="B301" s="36" t="s">
        <v>28</v>
      </c>
      <c r="C301" s="36" t="s">
        <v>19</v>
      </c>
      <c r="D301" s="36">
        <v>0</v>
      </c>
      <c r="E301" s="36">
        <v>0</v>
      </c>
      <c r="F301" s="36">
        <v>0</v>
      </c>
      <c r="G301" s="36">
        <v>0</v>
      </c>
      <c r="H301" s="41">
        <v>1</v>
      </c>
      <c r="I301" s="36">
        <v>0</v>
      </c>
      <c r="J301" s="36">
        <v>0</v>
      </c>
      <c r="K301" s="38">
        <v>599017.32999999996</v>
      </c>
    </row>
    <row r="302" spans="1:11">
      <c r="A302" s="39" t="s">
        <v>97</v>
      </c>
      <c r="B302" s="39" t="s">
        <v>28</v>
      </c>
      <c r="C302" s="39" t="s">
        <v>19</v>
      </c>
      <c r="D302" s="39">
        <v>0</v>
      </c>
      <c r="E302" s="39">
        <v>0</v>
      </c>
      <c r="F302" s="39">
        <v>0</v>
      </c>
      <c r="G302" s="39">
        <v>0</v>
      </c>
      <c r="H302" s="41">
        <v>1</v>
      </c>
      <c r="I302" s="39">
        <v>0</v>
      </c>
      <c r="J302" s="39">
        <v>0</v>
      </c>
      <c r="K302" s="40">
        <v>401582.58</v>
      </c>
    </row>
    <row r="303" spans="1:11">
      <c r="A303" s="36" t="s">
        <v>98</v>
      </c>
      <c r="B303" s="36" t="s">
        <v>21</v>
      </c>
      <c r="C303" s="36" t="s">
        <v>29</v>
      </c>
      <c r="D303" s="36">
        <v>0</v>
      </c>
      <c r="E303" s="37">
        <v>1</v>
      </c>
      <c r="F303" s="36">
        <v>0</v>
      </c>
      <c r="G303" s="36">
        <v>0</v>
      </c>
      <c r="H303" s="36">
        <v>0</v>
      </c>
      <c r="I303" s="41">
        <v>1</v>
      </c>
      <c r="J303" s="36">
        <v>1</v>
      </c>
      <c r="K303" s="38">
        <v>703812.99</v>
      </c>
    </row>
    <row r="304" spans="1:11">
      <c r="A304" s="39" t="s">
        <v>98</v>
      </c>
      <c r="B304" s="39" t="s">
        <v>21</v>
      </c>
      <c r="C304" s="39" t="s">
        <v>29</v>
      </c>
      <c r="D304" s="39">
        <v>0</v>
      </c>
      <c r="E304" s="37">
        <v>1</v>
      </c>
      <c r="F304" s="39">
        <v>0</v>
      </c>
      <c r="G304" s="39">
        <v>0</v>
      </c>
      <c r="H304" s="39">
        <v>0</v>
      </c>
      <c r="I304" s="41">
        <v>1</v>
      </c>
      <c r="J304" s="39">
        <v>0</v>
      </c>
      <c r="K304" s="40">
        <v>724346.73</v>
      </c>
    </row>
    <row r="305" spans="1:11">
      <c r="A305" s="36" t="s">
        <v>98</v>
      </c>
      <c r="B305" s="36" t="s">
        <v>21</v>
      </c>
      <c r="C305" s="36" t="s">
        <v>29</v>
      </c>
      <c r="D305" s="36">
        <v>0</v>
      </c>
      <c r="E305" s="37">
        <v>1</v>
      </c>
      <c r="F305" s="36">
        <v>0</v>
      </c>
      <c r="G305" s="36">
        <v>0</v>
      </c>
      <c r="H305" s="36">
        <v>0</v>
      </c>
      <c r="I305" s="41">
        <v>1</v>
      </c>
      <c r="J305" s="36">
        <v>1</v>
      </c>
      <c r="K305" s="38">
        <v>730890.01</v>
      </c>
    </row>
    <row r="306" spans="1:11">
      <c r="A306" s="39" t="s">
        <v>98</v>
      </c>
      <c r="B306" s="39" t="s">
        <v>21</v>
      </c>
      <c r="C306" s="39" t="s">
        <v>29</v>
      </c>
      <c r="D306" s="39">
        <v>0</v>
      </c>
      <c r="E306" s="37">
        <v>1</v>
      </c>
      <c r="F306" s="39">
        <v>0</v>
      </c>
      <c r="G306" s="39">
        <v>0</v>
      </c>
      <c r="H306" s="39">
        <v>0</v>
      </c>
      <c r="I306" s="41">
        <v>1</v>
      </c>
      <c r="J306" s="39">
        <v>0</v>
      </c>
      <c r="K306" s="40">
        <v>780580.95</v>
      </c>
    </row>
    <row r="307" spans="1:11">
      <c r="A307" s="36" t="s">
        <v>99</v>
      </c>
      <c r="B307" s="36" t="s">
        <v>25</v>
      </c>
      <c r="C307" s="36" t="s">
        <v>17</v>
      </c>
      <c r="D307" s="36">
        <v>0</v>
      </c>
      <c r="E307" s="36">
        <v>0</v>
      </c>
      <c r="F307" s="37">
        <v>1</v>
      </c>
      <c r="G307" s="36">
        <v>0</v>
      </c>
      <c r="H307" s="36">
        <v>0</v>
      </c>
      <c r="I307" s="36">
        <v>0</v>
      </c>
      <c r="J307" s="36">
        <v>0</v>
      </c>
      <c r="K307" s="38">
        <v>727957.48</v>
      </c>
    </row>
    <row r="308" spans="1:11">
      <c r="A308" s="39" t="s">
        <v>99</v>
      </c>
      <c r="B308" s="39" t="s">
        <v>25</v>
      </c>
      <c r="C308" s="39" t="s">
        <v>17</v>
      </c>
      <c r="D308" s="39">
        <v>0</v>
      </c>
      <c r="E308" s="39">
        <v>0</v>
      </c>
      <c r="F308" s="37">
        <v>1</v>
      </c>
      <c r="G308" s="39">
        <v>0</v>
      </c>
      <c r="H308" s="39">
        <v>0</v>
      </c>
      <c r="I308" s="39">
        <v>0</v>
      </c>
      <c r="J308" s="39">
        <v>0</v>
      </c>
      <c r="K308" s="40">
        <v>538376</v>
      </c>
    </row>
    <row r="309" spans="1:11">
      <c r="A309" s="36" t="s">
        <v>99</v>
      </c>
      <c r="B309" s="36" t="s">
        <v>25</v>
      </c>
      <c r="C309" s="36" t="s">
        <v>17</v>
      </c>
      <c r="D309" s="36">
        <v>0</v>
      </c>
      <c r="E309" s="36">
        <v>0</v>
      </c>
      <c r="F309" s="37">
        <v>1</v>
      </c>
      <c r="G309" s="36">
        <v>0</v>
      </c>
      <c r="H309" s="36">
        <v>0</v>
      </c>
      <c r="I309" s="36">
        <v>0</v>
      </c>
      <c r="J309" s="36">
        <v>1</v>
      </c>
      <c r="K309" s="38">
        <v>665342.49</v>
      </c>
    </row>
    <row r="310" spans="1:11">
      <c r="A310" s="39" t="s">
        <v>99</v>
      </c>
      <c r="B310" s="39" t="s">
        <v>25</v>
      </c>
      <c r="C310" s="39" t="s">
        <v>17</v>
      </c>
      <c r="D310" s="39">
        <v>0</v>
      </c>
      <c r="E310" s="39">
        <v>0</v>
      </c>
      <c r="F310" s="37">
        <v>1</v>
      </c>
      <c r="G310" s="39">
        <v>0</v>
      </c>
      <c r="H310" s="39">
        <v>0</v>
      </c>
      <c r="I310" s="39">
        <v>0</v>
      </c>
      <c r="J310" s="39">
        <v>0</v>
      </c>
      <c r="K310" s="40">
        <v>651164.18000000005</v>
      </c>
    </row>
    <row r="311" spans="1:11">
      <c r="A311" s="36" t="s">
        <v>100</v>
      </c>
      <c r="B311" s="36" t="s">
        <v>25</v>
      </c>
      <c r="C311" s="36" t="s">
        <v>19</v>
      </c>
      <c r="D311" s="36">
        <v>0</v>
      </c>
      <c r="E311" s="36">
        <v>0</v>
      </c>
      <c r="F311" s="37">
        <v>1</v>
      </c>
      <c r="G311" s="36">
        <v>0</v>
      </c>
      <c r="H311" s="41">
        <v>1</v>
      </c>
      <c r="I311" s="36">
        <v>0</v>
      </c>
      <c r="J311" s="36">
        <v>0</v>
      </c>
      <c r="K311" s="38">
        <v>628538.30000000005</v>
      </c>
    </row>
    <row r="312" spans="1:11">
      <c r="A312" s="39" t="s">
        <v>100</v>
      </c>
      <c r="B312" s="39" t="s">
        <v>25</v>
      </c>
      <c r="C312" s="39" t="s">
        <v>19</v>
      </c>
      <c r="D312" s="39">
        <v>0</v>
      </c>
      <c r="E312" s="39">
        <v>0</v>
      </c>
      <c r="F312" s="37">
        <v>1</v>
      </c>
      <c r="G312" s="39">
        <v>0</v>
      </c>
      <c r="H312" s="41">
        <v>1</v>
      </c>
      <c r="I312" s="39">
        <v>0</v>
      </c>
      <c r="J312" s="39">
        <v>0</v>
      </c>
      <c r="K312" s="40">
        <v>536524.84</v>
      </c>
    </row>
    <row r="313" spans="1:11">
      <c r="A313" s="36" t="s">
        <v>100</v>
      </c>
      <c r="B313" s="36" t="s">
        <v>25</v>
      </c>
      <c r="C313" s="36" t="s">
        <v>19</v>
      </c>
      <c r="D313" s="36">
        <v>0</v>
      </c>
      <c r="E313" s="36">
        <v>0</v>
      </c>
      <c r="F313" s="37">
        <v>1</v>
      </c>
      <c r="G313" s="36">
        <v>0</v>
      </c>
      <c r="H313" s="41">
        <v>1</v>
      </c>
      <c r="I313" s="36">
        <v>0</v>
      </c>
      <c r="J313" s="36">
        <v>0</v>
      </c>
      <c r="K313" s="38">
        <v>621677.30000000005</v>
      </c>
    </row>
    <row r="314" spans="1:11">
      <c r="A314" s="39" t="s">
        <v>100</v>
      </c>
      <c r="B314" s="39" t="s">
        <v>25</v>
      </c>
      <c r="C314" s="39" t="s">
        <v>19</v>
      </c>
      <c r="D314" s="39">
        <v>0</v>
      </c>
      <c r="E314" s="39">
        <v>0</v>
      </c>
      <c r="F314" s="37">
        <v>1</v>
      </c>
      <c r="G314" s="39">
        <v>0</v>
      </c>
      <c r="H314" s="41">
        <v>1</v>
      </c>
      <c r="I314" s="39">
        <v>0</v>
      </c>
      <c r="J314" s="39">
        <v>0</v>
      </c>
      <c r="K314" s="40">
        <v>771129.07</v>
      </c>
    </row>
    <row r="315" spans="1:11">
      <c r="A315" s="36" t="s">
        <v>101</v>
      </c>
      <c r="B315" s="36" t="s">
        <v>21</v>
      </c>
      <c r="C315" s="36" t="s">
        <v>17</v>
      </c>
      <c r="D315" s="36">
        <v>0</v>
      </c>
      <c r="E315" s="37">
        <v>1</v>
      </c>
      <c r="F315" s="36">
        <v>0</v>
      </c>
      <c r="G315" s="36">
        <v>0</v>
      </c>
      <c r="H315" s="36">
        <v>0</v>
      </c>
      <c r="I315" s="36">
        <v>0</v>
      </c>
      <c r="J315" s="36">
        <v>0</v>
      </c>
      <c r="K315" s="38">
        <v>702052.47</v>
      </c>
    </row>
    <row r="316" spans="1:11">
      <c r="A316" s="39" t="s">
        <v>101</v>
      </c>
      <c r="B316" s="39" t="s">
        <v>21</v>
      </c>
      <c r="C316" s="39" t="s">
        <v>17</v>
      </c>
      <c r="D316" s="39">
        <v>0</v>
      </c>
      <c r="E316" s="37">
        <v>1</v>
      </c>
      <c r="F316" s="39">
        <v>0</v>
      </c>
      <c r="G316" s="39">
        <v>0</v>
      </c>
      <c r="H316" s="39">
        <v>0</v>
      </c>
      <c r="I316" s="39">
        <v>0</v>
      </c>
      <c r="J316" s="39">
        <v>0</v>
      </c>
      <c r="K316" s="40">
        <v>688368.46</v>
      </c>
    </row>
    <row r="317" spans="1:11">
      <c r="A317" s="36" t="s">
        <v>101</v>
      </c>
      <c r="B317" s="36" t="s">
        <v>21</v>
      </c>
      <c r="C317" s="36" t="s">
        <v>17</v>
      </c>
      <c r="D317" s="36">
        <v>0</v>
      </c>
      <c r="E317" s="37">
        <v>1</v>
      </c>
      <c r="F317" s="36">
        <v>0</v>
      </c>
      <c r="G317" s="36">
        <v>0</v>
      </c>
      <c r="H317" s="36">
        <v>0</v>
      </c>
      <c r="I317" s="36">
        <v>0</v>
      </c>
      <c r="J317" s="36">
        <v>1</v>
      </c>
      <c r="K317" s="38">
        <v>712375.77</v>
      </c>
    </row>
    <row r="318" spans="1:11">
      <c r="A318" s="39" t="s">
        <v>101</v>
      </c>
      <c r="B318" s="39" t="s">
        <v>21</v>
      </c>
      <c r="C318" s="39" t="s">
        <v>17</v>
      </c>
      <c r="D318" s="39">
        <v>0</v>
      </c>
      <c r="E318" s="37">
        <v>1</v>
      </c>
      <c r="F318" s="39">
        <v>0</v>
      </c>
      <c r="G318" s="39">
        <v>0</v>
      </c>
      <c r="H318" s="39">
        <v>0</v>
      </c>
      <c r="I318" s="39">
        <v>0</v>
      </c>
      <c r="J318" s="39">
        <v>0</v>
      </c>
      <c r="K318" s="40">
        <v>844710.67</v>
      </c>
    </row>
    <row r="319" spans="1:11">
      <c r="A319" s="36" t="s">
        <v>102</v>
      </c>
      <c r="B319" s="36" t="s">
        <v>16</v>
      </c>
      <c r="C319" s="36" t="s">
        <v>17</v>
      </c>
      <c r="D319" s="37">
        <v>1</v>
      </c>
      <c r="E319" s="36">
        <v>0</v>
      </c>
      <c r="F319" s="36">
        <v>0</v>
      </c>
      <c r="G319" s="36">
        <v>0</v>
      </c>
      <c r="H319" s="36">
        <v>0</v>
      </c>
      <c r="I319" s="36">
        <v>0</v>
      </c>
      <c r="J319" s="36">
        <v>1</v>
      </c>
      <c r="K319" s="38">
        <v>620264.19999999995</v>
      </c>
    </row>
    <row r="320" spans="1:11">
      <c r="A320" s="39" t="s">
        <v>102</v>
      </c>
      <c r="B320" s="39" t="s">
        <v>16</v>
      </c>
      <c r="C320" s="39" t="s">
        <v>17</v>
      </c>
      <c r="D320" s="37">
        <v>1</v>
      </c>
      <c r="E320" s="39">
        <v>0</v>
      </c>
      <c r="F320" s="39">
        <v>0</v>
      </c>
      <c r="G320" s="39">
        <v>0</v>
      </c>
      <c r="H320" s="39">
        <v>0</v>
      </c>
      <c r="I320" s="39">
        <v>0</v>
      </c>
      <c r="J320" s="39">
        <v>0</v>
      </c>
      <c r="K320" s="40">
        <v>536845.42000000004</v>
      </c>
    </row>
    <row r="321" spans="1:11">
      <c r="A321" s="36" t="s">
        <v>102</v>
      </c>
      <c r="B321" s="36" t="s">
        <v>16</v>
      </c>
      <c r="C321" s="36" t="s">
        <v>17</v>
      </c>
      <c r="D321" s="37">
        <v>1</v>
      </c>
      <c r="E321" s="36">
        <v>0</v>
      </c>
      <c r="F321" s="36">
        <v>0</v>
      </c>
      <c r="G321" s="36">
        <v>0</v>
      </c>
      <c r="H321" s="36">
        <v>0</v>
      </c>
      <c r="I321" s="36">
        <v>0</v>
      </c>
      <c r="J321" s="36">
        <v>1</v>
      </c>
      <c r="K321" s="38">
        <v>726776.22</v>
      </c>
    </row>
    <row r="322" spans="1:11">
      <c r="A322" s="39" t="s">
        <v>102</v>
      </c>
      <c r="B322" s="39" t="s">
        <v>16</v>
      </c>
      <c r="C322" s="39" t="s">
        <v>17</v>
      </c>
      <c r="D322" s="37">
        <v>1</v>
      </c>
      <c r="E322" s="39">
        <v>0</v>
      </c>
      <c r="F322" s="39">
        <v>0</v>
      </c>
      <c r="G322" s="39">
        <v>0</v>
      </c>
      <c r="H322" s="39">
        <v>0</v>
      </c>
      <c r="I322" s="39">
        <v>0</v>
      </c>
      <c r="J322" s="39">
        <v>0</v>
      </c>
      <c r="K322" s="40">
        <v>559660.84</v>
      </c>
    </row>
    <row r="324" spans="1:11">
      <c r="A324" s="13" t="s">
        <v>127</v>
      </c>
      <c r="B324" s="13"/>
      <c r="C324" s="13"/>
      <c r="D324" s="13"/>
      <c r="E324" s="13"/>
      <c r="F324" s="13"/>
      <c r="G324" s="13"/>
      <c r="H324" s="13"/>
      <c r="I324" s="13"/>
      <c r="J324" s="13"/>
      <c r="K324" s="13"/>
    </row>
  </sheetData>
  <mergeCells count="2">
    <mergeCell ref="A1:M1"/>
    <mergeCell ref="A324:K324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7"/>
  <sheetViews>
    <sheetView workbookViewId="0">
      <selection activeCell="J12" sqref="J12"/>
    </sheetView>
  </sheetViews>
  <sheetFormatPr defaultColWidth="8.6640625" defaultRowHeight="14.4"/>
  <cols>
    <col min="1" max="1" width="22" customWidth="1"/>
    <col min="2" max="3" width="16" customWidth="1"/>
    <col min="4" max="6" width="14" customWidth="1"/>
    <col min="7" max="8" width="18" customWidth="1"/>
  </cols>
  <sheetData>
    <row r="1" spans="1:8" ht="24" customHeight="1">
      <c r="A1" s="14" t="s">
        <v>128</v>
      </c>
      <c r="B1" s="14"/>
      <c r="C1" s="14"/>
      <c r="D1" s="14"/>
      <c r="E1" s="14"/>
      <c r="F1" s="14"/>
      <c r="G1" s="14"/>
      <c r="H1" s="14"/>
    </row>
    <row r="2" spans="1:8" ht="19.5" customHeight="1">
      <c r="A2" s="6" t="s">
        <v>129</v>
      </c>
      <c r="B2" s="6"/>
      <c r="C2" s="6"/>
      <c r="D2" s="6"/>
      <c r="E2" s="6"/>
      <c r="F2" s="6"/>
      <c r="G2" s="6"/>
      <c r="H2" s="6"/>
    </row>
    <row r="3" spans="1:8">
      <c r="A3" s="42" t="s">
        <v>130</v>
      </c>
      <c r="B3" s="43" t="s">
        <v>131</v>
      </c>
    </row>
    <row r="4" spans="1:8">
      <c r="A4" s="42" t="s">
        <v>132</v>
      </c>
      <c r="B4" s="44">
        <v>320</v>
      </c>
    </row>
    <row r="5" spans="1:8">
      <c r="A5" s="42" t="s">
        <v>133</v>
      </c>
      <c r="B5" s="43">
        <v>1</v>
      </c>
    </row>
    <row r="7" spans="1:8" ht="19.5" customHeight="1">
      <c r="A7" s="5" t="s">
        <v>134</v>
      </c>
      <c r="B7" s="5"/>
      <c r="C7" s="5"/>
      <c r="D7" s="5"/>
      <c r="E7" s="5"/>
      <c r="F7" s="5"/>
      <c r="G7" s="5"/>
      <c r="H7" s="5"/>
    </row>
    <row r="8" spans="1:8">
      <c r="A8" s="45" t="s">
        <v>135</v>
      </c>
      <c r="B8" s="45" t="s">
        <v>136</v>
      </c>
      <c r="C8" s="4" t="s">
        <v>137</v>
      </c>
      <c r="D8" s="4"/>
      <c r="E8" s="4"/>
      <c r="F8" s="4"/>
      <c r="G8" s="4"/>
      <c r="H8" s="4"/>
    </row>
    <row r="9" spans="1:8">
      <c r="A9" s="32" t="s">
        <v>138</v>
      </c>
      <c r="B9" s="46">
        <v>0.73628534000331103</v>
      </c>
      <c r="C9" s="3" t="s">
        <v>139</v>
      </c>
      <c r="D9" s="3"/>
      <c r="E9" s="3"/>
      <c r="F9" s="3"/>
      <c r="G9" s="3"/>
      <c r="H9" s="3"/>
    </row>
    <row r="10" spans="1:8">
      <c r="A10" s="47" t="s">
        <v>140</v>
      </c>
      <c r="B10" s="48">
        <v>0.73545604861967395</v>
      </c>
      <c r="C10" s="2" t="s">
        <v>141</v>
      </c>
      <c r="D10" s="2"/>
      <c r="E10" s="2"/>
      <c r="F10" s="2"/>
      <c r="G10" s="2"/>
      <c r="H10" s="2"/>
    </row>
    <row r="11" spans="1:8">
      <c r="A11" s="32" t="s">
        <v>142</v>
      </c>
      <c r="B11" s="49">
        <v>53206.682023039502</v>
      </c>
      <c r="C11" s="3" t="s">
        <v>143</v>
      </c>
      <c r="D11" s="3"/>
      <c r="E11" s="3"/>
      <c r="F11" s="3"/>
      <c r="G11" s="3"/>
      <c r="H11" s="3"/>
    </row>
    <row r="12" spans="1:8">
      <c r="A12" s="47" t="s">
        <v>144</v>
      </c>
      <c r="B12" s="50">
        <v>42434.575412062302</v>
      </c>
      <c r="C12" s="2" t="s">
        <v>145</v>
      </c>
      <c r="D12" s="2"/>
      <c r="E12" s="2"/>
      <c r="F12" s="2"/>
      <c r="G12" s="2"/>
      <c r="H12" s="2"/>
    </row>
    <row r="14" spans="1:8" ht="19.5" customHeight="1">
      <c r="A14" s="5" t="s">
        <v>146</v>
      </c>
      <c r="B14" s="5"/>
      <c r="C14" s="5"/>
      <c r="D14" s="5"/>
      <c r="E14" s="5"/>
      <c r="F14" s="5"/>
      <c r="G14" s="5"/>
      <c r="H14" s="5"/>
    </row>
    <row r="15" spans="1:8">
      <c r="A15" s="45" t="s">
        <v>147</v>
      </c>
      <c r="B15" s="45" t="s">
        <v>148</v>
      </c>
      <c r="C15" s="45" t="s">
        <v>149</v>
      </c>
      <c r="D15" s="45" t="s">
        <v>150</v>
      </c>
      <c r="E15" s="45" t="s">
        <v>151</v>
      </c>
      <c r="F15" s="45" t="s">
        <v>152</v>
      </c>
      <c r="G15" s="4" t="s">
        <v>137</v>
      </c>
      <c r="H15" s="4"/>
    </row>
    <row r="16" spans="1:8">
      <c r="A16" s="47" t="s">
        <v>153</v>
      </c>
      <c r="B16" s="51">
        <v>446410.58293395402</v>
      </c>
      <c r="C16" s="52" t="s">
        <v>154</v>
      </c>
      <c r="D16" s="48">
        <v>53.095204556754297</v>
      </c>
      <c r="E16" s="53">
        <v>0</v>
      </c>
      <c r="F16" s="54" t="s">
        <v>155</v>
      </c>
      <c r="G16" s="3" t="s">
        <v>156</v>
      </c>
      <c r="H16" s="3"/>
    </row>
    <row r="17" spans="1:8">
      <c r="A17" s="32" t="s">
        <v>157</v>
      </c>
      <c r="B17" s="55">
        <v>35.678031072640501</v>
      </c>
      <c r="C17" s="56" t="s">
        <v>154</v>
      </c>
      <c r="D17" s="46">
        <v>29.796791372776401</v>
      </c>
      <c r="E17" s="57">
        <v>0</v>
      </c>
      <c r="F17" s="58" t="s">
        <v>155</v>
      </c>
      <c r="G17" s="3" t="s">
        <v>158</v>
      </c>
      <c r="H17" s="3"/>
    </row>
    <row r="19" spans="1:8" ht="19.5" customHeight="1">
      <c r="A19" s="1" t="s">
        <v>159</v>
      </c>
      <c r="B19" s="1"/>
      <c r="C19" s="1"/>
      <c r="D19" s="1"/>
      <c r="E19" s="1"/>
      <c r="F19" s="1"/>
      <c r="G19" s="1"/>
      <c r="H19" s="1"/>
    </row>
    <row r="20" spans="1:8" ht="27.75" customHeight="1">
      <c r="A20" s="86" t="s">
        <v>160</v>
      </c>
      <c r="B20" s="86"/>
      <c r="C20" s="86"/>
      <c r="D20" s="86"/>
      <c r="E20" s="86"/>
      <c r="F20" s="86"/>
      <c r="G20" s="86"/>
      <c r="H20" s="86"/>
    </row>
    <row r="22" spans="1:8" ht="19.5" customHeight="1">
      <c r="A22" s="87" t="s">
        <v>161</v>
      </c>
      <c r="B22" s="87"/>
      <c r="C22" s="87"/>
      <c r="D22" s="87"/>
      <c r="E22" s="87"/>
      <c r="F22" s="87"/>
      <c r="G22" s="87"/>
      <c r="H22" s="87"/>
    </row>
    <row r="23" spans="1:8" ht="18" customHeight="1">
      <c r="A23" s="88" t="s">
        <v>162</v>
      </c>
      <c r="B23" s="88"/>
      <c r="C23" s="88"/>
      <c r="D23" s="88"/>
      <c r="E23" s="88"/>
      <c r="F23" s="88"/>
      <c r="G23" s="88"/>
      <c r="H23" s="88"/>
    </row>
    <row r="24" spans="1:8" ht="18" customHeight="1">
      <c r="A24" s="88" t="s">
        <v>163</v>
      </c>
      <c r="B24" s="88"/>
      <c r="C24" s="88"/>
      <c r="D24" s="88"/>
      <c r="E24" s="88"/>
      <c r="F24" s="88"/>
      <c r="G24" s="88"/>
      <c r="H24" s="88"/>
    </row>
    <row r="25" spans="1:8" ht="18" customHeight="1">
      <c r="A25" s="88" t="s">
        <v>164</v>
      </c>
      <c r="B25" s="88"/>
      <c r="C25" s="88"/>
      <c r="D25" s="88"/>
      <c r="E25" s="88"/>
      <c r="F25" s="88"/>
      <c r="G25" s="88"/>
      <c r="H25" s="88"/>
    </row>
    <row r="26" spans="1:8" ht="18" customHeight="1">
      <c r="A26" s="88" t="s">
        <v>165</v>
      </c>
      <c r="B26" s="88"/>
      <c r="C26" s="88"/>
      <c r="D26" s="88"/>
      <c r="E26" s="88"/>
      <c r="F26" s="88"/>
      <c r="G26" s="88"/>
      <c r="H26" s="88"/>
    </row>
    <row r="27" spans="1:8" ht="18" customHeight="1">
      <c r="A27" s="88" t="s">
        <v>166</v>
      </c>
      <c r="B27" s="88"/>
      <c r="C27" s="88"/>
      <c r="D27" s="88"/>
      <c r="E27" s="88"/>
      <c r="F27" s="88"/>
      <c r="G27" s="88"/>
      <c r="H27" s="88"/>
    </row>
  </sheetData>
  <mergeCells count="20">
    <mergeCell ref="A23:H23"/>
    <mergeCell ref="A24:H24"/>
    <mergeCell ref="A25:H25"/>
    <mergeCell ref="A26:H26"/>
    <mergeCell ref="A27:H27"/>
    <mergeCell ref="G16:H16"/>
    <mergeCell ref="G17:H17"/>
    <mergeCell ref="A19:H19"/>
    <mergeCell ref="A20:H20"/>
    <mergeCell ref="A22:H22"/>
    <mergeCell ref="C10:H10"/>
    <mergeCell ref="C11:H11"/>
    <mergeCell ref="C12:H12"/>
    <mergeCell ref="A14:H14"/>
    <mergeCell ref="G15:H15"/>
    <mergeCell ref="A1:H1"/>
    <mergeCell ref="A2:H2"/>
    <mergeCell ref="A7:H7"/>
    <mergeCell ref="C8:H8"/>
    <mergeCell ref="C9:H9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7"/>
  <sheetViews>
    <sheetView workbookViewId="0">
      <pane ySplit="3" topLeftCell="A4" activePane="bottomLeft" state="frozen"/>
      <selection pane="bottomLeft" activeCell="D27" sqref="D27"/>
    </sheetView>
  </sheetViews>
  <sheetFormatPr defaultColWidth="8.6640625" defaultRowHeight="14.4"/>
  <cols>
    <col min="1" max="2" width="13" customWidth="1"/>
    <col min="3" max="3" width="14" customWidth="1"/>
    <col min="4" max="6" width="16" customWidth="1"/>
    <col min="7" max="7" width="14" customWidth="1"/>
    <col min="8" max="8" width="12" customWidth="1"/>
    <col min="9" max="10" width="14" customWidth="1"/>
  </cols>
  <sheetData>
    <row r="1" spans="1:10" ht="30" customHeight="1">
      <c r="A1" s="147" t="s">
        <v>294</v>
      </c>
      <c r="B1" s="147"/>
      <c r="C1" s="147"/>
      <c r="D1" s="147"/>
      <c r="E1" s="147"/>
      <c r="F1" s="147"/>
      <c r="G1" s="147"/>
      <c r="H1" s="147"/>
      <c r="I1" s="147"/>
      <c r="J1" s="147"/>
    </row>
    <row r="2" spans="1:10" ht="18" customHeight="1">
      <c r="A2" s="146" t="s">
        <v>293</v>
      </c>
      <c r="B2" s="146"/>
      <c r="C2" s="146"/>
      <c r="D2" s="146"/>
      <c r="E2" s="146"/>
      <c r="F2" s="146"/>
      <c r="G2" s="146"/>
      <c r="H2" s="146"/>
      <c r="I2" s="146"/>
      <c r="J2" s="146"/>
    </row>
    <row r="4" spans="1:10" ht="21.75" customHeight="1">
      <c r="A4" s="117" t="s">
        <v>292</v>
      </c>
      <c r="B4" s="117"/>
      <c r="C4" s="117"/>
      <c r="D4" s="117"/>
      <c r="E4" s="117"/>
      <c r="F4" s="117"/>
      <c r="G4" s="117"/>
      <c r="H4" s="117"/>
      <c r="I4" s="117"/>
      <c r="J4" s="117"/>
    </row>
    <row r="5" spans="1:10">
      <c r="A5" s="116" t="s">
        <v>135</v>
      </c>
      <c r="B5" s="116" t="s">
        <v>136</v>
      </c>
      <c r="C5" s="145" t="s">
        <v>291</v>
      </c>
      <c r="D5" s="145"/>
      <c r="E5" s="145"/>
      <c r="F5" s="145"/>
    </row>
    <row r="6" spans="1:10">
      <c r="A6" s="137" t="s">
        <v>290</v>
      </c>
      <c r="B6" s="143">
        <v>0.80759999999999998</v>
      </c>
      <c r="C6" s="135" t="s">
        <v>289</v>
      </c>
      <c r="D6" s="135"/>
      <c r="E6" s="135"/>
      <c r="F6" s="135"/>
    </row>
    <row r="7" spans="1:10">
      <c r="A7" s="140" t="s">
        <v>288</v>
      </c>
      <c r="B7" s="144">
        <v>0.65229999999999999</v>
      </c>
      <c r="C7" s="138" t="s">
        <v>287</v>
      </c>
      <c r="D7" s="138"/>
      <c r="E7" s="138"/>
      <c r="F7" s="138"/>
    </row>
    <row r="8" spans="1:10">
      <c r="A8" s="137" t="s">
        <v>140</v>
      </c>
      <c r="B8" s="143">
        <v>0.6512</v>
      </c>
      <c r="C8" s="135" t="s">
        <v>286</v>
      </c>
      <c r="D8" s="135"/>
      <c r="E8" s="135"/>
      <c r="F8" s="135"/>
    </row>
    <row r="9" spans="1:10">
      <c r="A9" s="140" t="s">
        <v>285</v>
      </c>
      <c r="B9" s="142">
        <v>61095.24</v>
      </c>
      <c r="C9" s="138" t="s">
        <v>284</v>
      </c>
      <c r="D9" s="138"/>
      <c r="E9" s="138"/>
      <c r="F9" s="138"/>
    </row>
    <row r="10" spans="1:10">
      <c r="A10" s="137" t="s">
        <v>283</v>
      </c>
      <c r="B10" s="141">
        <v>48943.44</v>
      </c>
      <c r="C10" s="135" t="s">
        <v>282</v>
      </c>
      <c r="D10" s="135"/>
      <c r="E10" s="135"/>
      <c r="F10" s="135"/>
    </row>
    <row r="11" spans="1:10">
      <c r="A11" s="140" t="s">
        <v>274</v>
      </c>
      <c r="B11" s="139">
        <v>596.55640000000005</v>
      </c>
      <c r="C11" s="138" t="s">
        <v>281</v>
      </c>
      <c r="D11" s="138"/>
      <c r="E11" s="138"/>
      <c r="F11" s="138"/>
    </row>
    <row r="12" spans="1:10">
      <c r="A12" s="137" t="s">
        <v>132</v>
      </c>
      <c r="B12" s="136">
        <v>320</v>
      </c>
      <c r="C12" s="135" t="s">
        <v>280</v>
      </c>
      <c r="D12" s="135"/>
      <c r="E12" s="135"/>
      <c r="F12" s="135"/>
    </row>
    <row r="14" spans="1:10" ht="21.75" customHeight="1">
      <c r="A14" s="134" t="s">
        <v>279</v>
      </c>
      <c r="B14" s="134"/>
      <c r="C14" s="134"/>
      <c r="D14" s="134"/>
      <c r="E14" s="134"/>
      <c r="F14" s="134"/>
      <c r="G14" s="134"/>
      <c r="H14" s="134"/>
      <c r="I14" s="134"/>
      <c r="J14" s="134"/>
    </row>
    <row r="15" spans="1:10">
      <c r="A15" s="133" t="s">
        <v>278</v>
      </c>
      <c r="B15" s="133" t="s">
        <v>277</v>
      </c>
      <c r="C15" s="133" t="s">
        <v>276</v>
      </c>
      <c r="D15" s="133" t="s">
        <v>275</v>
      </c>
      <c r="E15" s="133" t="s">
        <v>274</v>
      </c>
      <c r="F15" s="133" t="s">
        <v>151</v>
      </c>
    </row>
    <row r="16" spans="1:10">
      <c r="A16" s="132" t="s">
        <v>273</v>
      </c>
      <c r="B16" s="130">
        <v>2240727672526.3999</v>
      </c>
      <c r="C16" s="131">
        <v>1</v>
      </c>
      <c r="D16" s="130">
        <v>2240727672526.3999</v>
      </c>
      <c r="E16" s="129">
        <v>596.55640000000005</v>
      </c>
      <c r="F16" s="128" t="s">
        <v>266</v>
      </c>
    </row>
    <row r="17" spans="1:10">
      <c r="A17" s="127" t="s">
        <v>272</v>
      </c>
      <c r="B17" s="125">
        <v>1194440944264.3401</v>
      </c>
      <c r="C17" s="126">
        <v>318</v>
      </c>
      <c r="D17" s="125">
        <v>3756103598.3155398</v>
      </c>
      <c r="E17" s="124"/>
      <c r="F17" s="123"/>
    </row>
    <row r="18" spans="1:10">
      <c r="A18" s="122" t="s">
        <v>271</v>
      </c>
      <c r="B18" s="120">
        <v>3435168616790.7402</v>
      </c>
      <c r="C18" s="121">
        <v>319</v>
      </c>
      <c r="D18" s="120"/>
      <c r="E18" s="119"/>
      <c r="F18" s="118"/>
    </row>
    <row r="20" spans="1:10" ht="21.75" customHeight="1">
      <c r="A20" s="117" t="s">
        <v>270</v>
      </c>
      <c r="B20" s="117"/>
      <c r="C20" s="117"/>
      <c r="D20" s="117"/>
      <c r="E20" s="117"/>
      <c r="F20" s="117"/>
      <c r="G20" s="117"/>
      <c r="H20" s="117"/>
      <c r="I20" s="117"/>
      <c r="J20" s="117"/>
    </row>
    <row r="21" spans="1:10">
      <c r="A21" s="116" t="s">
        <v>147</v>
      </c>
      <c r="B21" s="116" t="s">
        <v>269</v>
      </c>
      <c r="C21" s="116" t="s">
        <v>150</v>
      </c>
      <c r="D21" s="116" t="s">
        <v>151</v>
      </c>
      <c r="E21" s="116" t="s">
        <v>152</v>
      </c>
      <c r="F21" s="115" t="s">
        <v>137</v>
      </c>
      <c r="G21" s="115"/>
      <c r="H21" s="115"/>
      <c r="I21" s="115"/>
      <c r="J21" s="115"/>
    </row>
    <row r="22" spans="1:10" ht="18" customHeight="1">
      <c r="A22" s="114" t="s">
        <v>153</v>
      </c>
      <c r="B22" s="113">
        <v>400551.46860000002</v>
      </c>
      <c r="C22" s="112">
        <v>33.468699999999998</v>
      </c>
      <c r="D22" s="111" t="s">
        <v>266</v>
      </c>
      <c r="E22" s="110" t="s">
        <v>155</v>
      </c>
      <c r="F22" s="109" t="s">
        <v>268</v>
      </c>
      <c r="G22" s="109"/>
      <c r="H22" s="109"/>
      <c r="I22" s="109"/>
      <c r="J22" s="109"/>
    </row>
    <row r="23" spans="1:10" ht="18" customHeight="1">
      <c r="A23" s="108" t="s">
        <v>267</v>
      </c>
      <c r="B23" s="107">
        <v>16984.0288</v>
      </c>
      <c r="C23" s="106">
        <v>24.424499999999998</v>
      </c>
      <c r="D23" s="105" t="s">
        <v>266</v>
      </c>
      <c r="E23" s="104" t="s">
        <v>155</v>
      </c>
      <c r="F23" s="103" t="s">
        <v>265</v>
      </c>
      <c r="G23" s="103"/>
      <c r="H23" s="103"/>
      <c r="I23" s="103"/>
      <c r="J23" s="103"/>
    </row>
    <row r="25" spans="1:10" ht="21.75" customHeight="1">
      <c r="A25" s="102" t="s">
        <v>264</v>
      </c>
      <c r="B25" s="102"/>
      <c r="C25" s="102"/>
      <c r="D25" s="102"/>
      <c r="E25" s="102"/>
      <c r="F25" s="102"/>
      <c r="G25" s="102"/>
      <c r="H25" s="102"/>
      <c r="I25" s="102"/>
      <c r="J25" s="102"/>
    </row>
    <row r="26" spans="1:10" ht="31.5" customHeight="1">
      <c r="A26" s="101" t="s">
        <v>263</v>
      </c>
      <c r="B26" s="101"/>
      <c r="C26" s="101"/>
      <c r="D26" s="101"/>
      <c r="E26" s="101"/>
      <c r="F26" s="101"/>
      <c r="G26" s="101"/>
      <c r="H26" s="101"/>
      <c r="I26" s="101"/>
      <c r="J26" s="101"/>
    </row>
    <row r="29" spans="1:10" ht="21.75" customHeight="1">
      <c r="A29" s="100" t="s">
        <v>262</v>
      </c>
      <c r="B29" s="100"/>
      <c r="C29" s="100"/>
      <c r="D29" s="100"/>
      <c r="E29" s="100"/>
      <c r="F29" s="100"/>
      <c r="G29" s="100"/>
      <c r="H29" s="100"/>
      <c r="I29" s="100"/>
      <c r="J29" s="100"/>
    </row>
    <row r="30" spans="1:10" ht="39.75" customHeight="1">
      <c r="A30" s="99" t="s">
        <v>261</v>
      </c>
      <c r="B30" s="99"/>
      <c r="C30" s="98" t="s">
        <v>260</v>
      </c>
      <c r="D30" s="98"/>
      <c r="E30" s="98"/>
      <c r="F30" s="98"/>
      <c r="G30" s="98"/>
      <c r="H30" s="98"/>
      <c r="I30" s="98"/>
      <c r="J30" s="98"/>
    </row>
    <row r="31" spans="1:10" ht="39.75" customHeight="1">
      <c r="A31" s="99" t="s">
        <v>259</v>
      </c>
      <c r="B31" s="99"/>
      <c r="C31" s="98" t="s">
        <v>258</v>
      </c>
      <c r="D31" s="98"/>
      <c r="E31" s="98"/>
      <c r="F31" s="98"/>
      <c r="G31" s="98"/>
      <c r="H31" s="98"/>
      <c r="I31" s="98"/>
      <c r="J31" s="98"/>
    </row>
    <row r="32" spans="1:10" ht="39.75" customHeight="1">
      <c r="A32" s="99" t="s">
        <v>257</v>
      </c>
      <c r="B32" s="99"/>
      <c r="C32" s="98" t="s">
        <v>256</v>
      </c>
      <c r="D32" s="98"/>
      <c r="E32" s="98"/>
      <c r="F32" s="98"/>
      <c r="G32" s="98"/>
      <c r="H32" s="98"/>
      <c r="I32" s="98"/>
      <c r="J32" s="98"/>
    </row>
    <row r="33" spans="1:10" ht="39.75" customHeight="1">
      <c r="A33" s="99" t="s">
        <v>255</v>
      </c>
      <c r="B33" s="99"/>
      <c r="C33" s="98" t="s">
        <v>254</v>
      </c>
      <c r="D33" s="98"/>
      <c r="E33" s="98"/>
      <c r="F33" s="98"/>
      <c r="G33" s="98"/>
      <c r="H33" s="98"/>
      <c r="I33" s="98"/>
      <c r="J33" s="98"/>
    </row>
    <row r="34" spans="1:10" ht="39.75" customHeight="1">
      <c r="A34" s="99" t="s">
        <v>253</v>
      </c>
      <c r="B34" s="99"/>
      <c r="C34" s="98" t="s">
        <v>252</v>
      </c>
      <c r="D34" s="98"/>
      <c r="E34" s="98"/>
      <c r="F34" s="98"/>
      <c r="G34" s="98"/>
      <c r="H34" s="98"/>
      <c r="I34" s="98"/>
      <c r="J34" s="98"/>
    </row>
    <row r="35" spans="1:10" ht="39.75" customHeight="1">
      <c r="A35" s="99" t="s">
        <v>251</v>
      </c>
      <c r="B35" s="99"/>
      <c r="C35" s="98" t="s">
        <v>250</v>
      </c>
      <c r="D35" s="98"/>
      <c r="E35" s="98"/>
      <c r="F35" s="98"/>
      <c r="G35" s="98"/>
      <c r="H35" s="98"/>
      <c r="I35" s="98"/>
      <c r="J35" s="98"/>
    </row>
    <row r="36" spans="1:10" ht="39.75" customHeight="1">
      <c r="A36" s="99" t="s">
        <v>249</v>
      </c>
      <c r="B36" s="99"/>
      <c r="C36" s="98" t="s">
        <v>248</v>
      </c>
      <c r="D36" s="98"/>
      <c r="E36" s="98"/>
      <c r="F36" s="98"/>
      <c r="G36" s="98"/>
      <c r="H36" s="98"/>
      <c r="I36" s="98"/>
      <c r="J36" s="98"/>
    </row>
    <row r="37" spans="1:10" ht="39.75" customHeight="1">
      <c r="A37" s="99" t="s">
        <v>247</v>
      </c>
      <c r="B37" s="99"/>
      <c r="C37" s="98" t="s">
        <v>246</v>
      </c>
      <c r="D37" s="98"/>
      <c r="E37" s="98"/>
      <c r="F37" s="98"/>
      <c r="G37" s="98"/>
      <c r="H37" s="98"/>
      <c r="I37" s="98"/>
      <c r="J37" s="98"/>
    </row>
  </sheetData>
  <mergeCells count="35">
    <mergeCell ref="C7:F7"/>
    <mergeCell ref="C8:F8"/>
    <mergeCell ref="C9:F9"/>
    <mergeCell ref="C10:F10"/>
    <mergeCell ref="C11:F11"/>
    <mergeCell ref="A1:J1"/>
    <mergeCell ref="A2:J2"/>
    <mergeCell ref="A4:J4"/>
    <mergeCell ref="C5:F5"/>
    <mergeCell ref="C6:F6"/>
    <mergeCell ref="C12:F12"/>
    <mergeCell ref="A14:J14"/>
    <mergeCell ref="A20:J20"/>
    <mergeCell ref="F21:J21"/>
    <mergeCell ref="F22:J22"/>
    <mergeCell ref="A29:J29"/>
    <mergeCell ref="A30:B30"/>
    <mergeCell ref="C30:J30"/>
    <mergeCell ref="A31:B31"/>
    <mergeCell ref="C31:J31"/>
    <mergeCell ref="F23:J23"/>
    <mergeCell ref="A25:J25"/>
    <mergeCell ref="A26:J26"/>
    <mergeCell ref="A32:B32"/>
    <mergeCell ref="C32:J32"/>
    <mergeCell ref="A33:B33"/>
    <mergeCell ref="C33:J33"/>
    <mergeCell ref="A34:B34"/>
    <mergeCell ref="C34:J34"/>
    <mergeCell ref="A35:B35"/>
    <mergeCell ref="C35:J35"/>
    <mergeCell ref="A36:B36"/>
    <mergeCell ref="C36:J36"/>
    <mergeCell ref="A37:B37"/>
    <mergeCell ref="C37:J37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>
  <dimension ref="A1:H39"/>
  <sheetViews>
    <sheetView topLeftCell="A7" workbookViewId="0">
      <selection activeCell="A40" sqref="A40"/>
    </sheetView>
  </sheetViews>
  <sheetFormatPr defaultColWidth="8.6640625" defaultRowHeight="14.4"/>
  <cols>
    <col min="1" max="1" width="26" customWidth="1"/>
    <col min="2" max="2" width="14" customWidth="1"/>
    <col min="3" max="3" width="13" customWidth="1"/>
    <col min="4" max="4" width="12" customWidth="1"/>
    <col min="5" max="5" width="13" customWidth="1"/>
    <col min="6" max="6" width="20" customWidth="1"/>
    <col min="7" max="7" width="38" customWidth="1"/>
    <col min="8" max="8" width="18" customWidth="1"/>
  </cols>
  <sheetData>
    <row r="1" spans="1:8" ht="24" customHeight="1">
      <c r="A1" s="14" t="s">
        <v>167</v>
      </c>
      <c r="B1" s="14"/>
      <c r="C1" s="14"/>
      <c r="D1" s="14"/>
      <c r="E1" s="14"/>
      <c r="F1" s="14"/>
      <c r="G1" s="14"/>
      <c r="H1" s="14"/>
    </row>
    <row r="2" spans="1:8" ht="19.5" customHeight="1">
      <c r="A2" s="6" t="s">
        <v>129</v>
      </c>
      <c r="B2" s="6"/>
      <c r="C2" s="6"/>
      <c r="D2" s="6"/>
      <c r="E2" s="6"/>
      <c r="F2" s="6"/>
      <c r="G2" s="6"/>
      <c r="H2" s="6"/>
    </row>
    <row r="3" spans="1:8">
      <c r="A3" s="42" t="s">
        <v>132</v>
      </c>
      <c r="B3" s="44">
        <v>320</v>
      </c>
    </row>
    <row r="4" spans="1:8" ht="31.5" customHeight="1">
      <c r="A4" s="42" t="s">
        <v>133</v>
      </c>
      <c r="B4" s="93">
        <v>14</v>
      </c>
      <c r="C4" s="93"/>
      <c r="D4" s="93"/>
      <c r="E4" s="93"/>
      <c r="F4" s="93"/>
      <c r="G4" s="93"/>
      <c r="H4" s="93"/>
    </row>
    <row r="5" spans="1:8">
      <c r="A5" s="42" t="s">
        <v>168</v>
      </c>
      <c r="B5" s="43" t="s">
        <v>169</v>
      </c>
    </row>
    <row r="7" spans="1:8" ht="19.5" customHeight="1">
      <c r="A7" s="5" t="s">
        <v>134</v>
      </c>
      <c r="B7" s="5"/>
      <c r="C7" s="5"/>
      <c r="D7" s="5"/>
      <c r="E7" s="5"/>
      <c r="F7" s="5"/>
      <c r="G7" s="5"/>
      <c r="H7" s="5"/>
    </row>
    <row r="8" spans="1:8">
      <c r="A8" s="45" t="s">
        <v>135</v>
      </c>
      <c r="B8" s="45" t="s">
        <v>136</v>
      </c>
      <c r="C8" s="4" t="s">
        <v>137</v>
      </c>
      <c r="D8" s="4"/>
      <c r="E8" s="4"/>
      <c r="F8" s="4"/>
      <c r="G8" s="4"/>
      <c r="H8" s="4"/>
    </row>
    <row r="9" spans="1:8">
      <c r="A9" s="32" t="s">
        <v>138</v>
      </c>
      <c r="B9" s="46">
        <v>0.85688288251751799</v>
      </c>
      <c r="C9" s="3" t="s">
        <v>170</v>
      </c>
      <c r="D9" s="3"/>
      <c r="E9" s="3"/>
      <c r="F9" s="3"/>
      <c r="G9" s="3"/>
      <c r="H9" s="3"/>
    </row>
    <row r="10" spans="1:8">
      <c r="A10" s="47" t="s">
        <v>140</v>
      </c>
      <c r="B10" s="48">
        <v>0.850313572206847</v>
      </c>
      <c r="C10" s="2" t="s">
        <v>171</v>
      </c>
      <c r="D10" s="2"/>
      <c r="E10" s="2"/>
      <c r="F10" s="2"/>
      <c r="G10" s="2"/>
      <c r="H10" s="2"/>
    </row>
    <row r="11" spans="1:8">
      <c r="A11" s="32" t="s">
        <v>142</v>
      </c>
      <c r="B11" s="49">
        <v>39196.278143680902</v>
      </c>
      <c r="C11" s="3" t="s">
        <v>172</v>
      </c>
      <c r="D11" s="3"/>
      <c r="E11" s="3"/>
      <c r="F11" s="3"/>
      <c r="G11" s="3"/>
      <c r="H11" s="3"/>
    </row>
    <row r="12" spans="1:8">
      <c r="A12" s="47" t="s">
        <v>144</v>
      </c>
      <c r="B12" s="50">
        <v>30892.946141988199</v>
      </c>
      <c r="C12" s="2" t="s">
        <v>173</v>
      </c>
      <c r="D12" s="2"/>
      <c r="E12" s="2"/>
      <c r="F12" s="2"/>
      <c r="G12" s="2"/>
      <c r="H12" s="2"/>
    </row>
    <row r="13" spans="1:8">
      <c r="A13" s="32" t="s">
        <v>174</v>
      </c>
      <c r="B13" s="46">
        <v>0.120597542514207</v>
      </c>
      <c r="C13" s="3" t="s">
        <v>175</v>
      </c>
      <c r="D13" s="3"/>
      <c r="E13" s="3"/>
      <c r="F13" s="3"/>
      <c r="G13" s="3"/>
      <c r="H13" s="3"/>
    </row>
    <row r="15" spans="1:8" ht="19.5" customHeight="1">
      <c r="A15" s="5" t="s">
        <v>146</v>
      </c>
      <c r="B15" s="5"/>
      <c r="C15" s="5"/>
      <c r="D15" s="5"/>
      <c r="E15" s="5"/>
      <c r="F15" s="5"/>
      <c r="G15" s="5"/>
      <c r="H15" s="5"/>
    </row>
    <row r="16" spans="1:8">
      <c r="A16" s="45" t="s">
        <v>147</v>
      </c>
      <c r="B16" s="45" t="s">
        <v>148</v>
      </c>
      <c r="C16" s="45" t="s">
        <v>150</v>
      </c>
      <c r="D16" s="45" t="s">
        <v>151</v>
      </c>
      <c r="E16" s="45" t="s">
        <v>152</v>
      </c>
      <c r="F16" s="45" t="s">
        <v>176</v>
      </c>
      <c r="G16" s="4" t="s">
        <v>137</v>
      </c>
      <c r="H16" s="4"/>
    </row>
    <row r="17" spans="1:8">
      <c r="A17" s="32" t="s">
        <v>177</v>
      </c>
      <c r="B17" s="55">
        <v>67570.894513865496</v>
      </c>
      <c r="C17" s="46">
        <v>1.47929385957983</v>
      </c>
      <c r="D17" s="57">
        <v>0.140093866920417</v>
      </c>
      <c r="E17" s="59" t="s">
        <v>178</v>
      </c>
      <c r="F17" s="60" t="s">
        <v>179</v>
      </c>
      <c r="G17" s="3" t="s">
        <v>180</v>
      </c>
      <c r="H17" s="3"/>
    </row>
    <row r="18" spans="1:8">
      <c r="A18" s="43" t="s">
        <v>6</v>
      </c>
      <c r="B18" s="55">
        <v>27.3237474970975</v>
      </c>
      <c r="C18" s="46">
        <v>11.8424304749197</v>
      </c>
      <c r="D18" s="57">
        <v>0</v>
      </c>
      <c r="E18" s="58" t="s">
        <v>155</v>
      </c>
      <c r="F18" s="60" t="s">
        <v>181</v>
      </c>
      <c r="G18" s="3" t="s">
        <v>182</v>
      </c>
      <c r="H18" s="3"/>
    </row>
    <row r="19" spans="1:8">
      <c r="A19" s="43" t="s">
        <v>8</v>
      </c>
      <c r="B19" s="55">
        <v>3513.96467528826</v>
      </c>
      <c r="C19" s="46">
        <v>3.0231346311391398</v>
      </c>
      <c r="D19" s="57">
        <v>2.71405461962782E-3</v>
      </c>
      <c r="E19" s="58" t="s">
        <v>183</v>
      </c>
      <c r="F19" s="60" t="s">
        <v>181</v>
      </c>
      <c r="G19" s="3" t="s">
        <v>184</v>
      </c>
      <c r="H19" s="3"/>
    </row>
    <row r="20" spans="1:8">
      <c r="A20" s="43" t="s">
        <v>5</v>
      </c>
      <c r="B20" s="55">
        <v>1.2097365766215</v>
      </c>
      <c r="C20" s="46">
        <v>10.341103745211001</v>
      </c>
      <c r="D20" s="57">
        <v>0</v>
      </c>
      <c r="E20" s="58" t="s">
        <v>155</v>
      </c>
      <c r="F20" s="60" t="s">
        <v>185</v>
      </c>
      <c r="G20" s="3" t="s">
        <v>186</v>
      </c>
      <c r="H20" s="3"/>
    </row>
    <row r="21" spans="1:8">
      <c r="A21" s="43" t="s">
        <v>7</v>
      </c>
      <c r="B21" s="55">
        <v>-41212.8035841827</v>
      </c>
      <c r="C21" s="46">
        <v>-1.21613616229476</v>
      </c>
      <c r="D21" s="57">
        <v>0.224873419812398</v>
      </c>
      <c r="E21" s="59" t="s">
        <v>178</v>
      </c>
      <c r="F21" s="60" t="s">
        <v>187</v>
      </c>
      <c r="G21" s="3" t="s">
        <v>188</v>
      </c>
      <c r="H21" s="3"/>
    </row>
    <row r="22" spans="1:8">
      <c r="A22" s="43" t="s">
        <v>9</v>
      </c>
      <c r="B22" s="55">
        <v>3062.0694085639102</v>
      </c>
      <c r="C22" s="46">
        <v>7.1832434844191697</v>
      </c>
      <c r="D22" s="57">
        <v>5.2415849438602899E-12</v>
      </c>
      <c r="E22" s="58" t="s">
        <v>155</v>
      </c>
      <c r="F22" s="60" t="s">
        <v>187</v>
      </c>
      <c r="G22" s="3" t="s">
        <v>189</v>
      </c>
      <c r="H22" s="3"/>
    </row>
    <row r="23" spans="1:8">
      <c r="A23" s="43" t="s">
        <v>10</v>
      </c>
      <c r="B23" s="55">
        <v>-3440.0915280572199</v>
      </c>
      <c r="C23" s="46">
        <v>-6.3650838862765102</v>
      </c>
      <c r="D23" s="57">
        <v>7.1524142164491898E-10</v>
      </c>
      <c r="E23" s="58" t="s">
        <v>155</v>
      </c>
      <c r="F23" s="60" t="s">
        <v>190</v>
      </c>
      <c r="G23" s="3" t="s">
        <v>191</v>
      </c>
      <c r="H23" s="3"/>
    </row>
    <row r="24" spans="1:8">
      <c r="A24" s="43" t="s">
        <v>12</v>
      </c>
      <c r="B24" s="55">
        <v>12337.2153118635</v>
      </c>
      <c r="C24" s="46">
        <v>2.7708924245747202</v>
      </c>
      <c r="D24" s="57">
        <v>5.9334497650220799E-3</v>
      </c>
      <c r="E24" s="58" t="s">
        <v>183</v>
      </c>
      <c r="F24" s="60" t="s">
        <v>192</v>
      </c>
      <c r="G24" s="3" t="s">
        <v>193</v>
      </c>
      <c r="H24" s="3"/>
    </row>
    <row r="25" spans="1:8">
      <c r="A25" s="43" t="s">
        <v>11</v>
      </c>
      <c r="B25" s="55">
        <v>15204.62769402</v>
      </c>
      <c r="C25" s="46">
        <v>2.4806617847200001</v>
      </c>
      <c r="D25" s="57">
        <v>1.36530186605275E-2</v>
      </c>
      <c r="E25" s="58" t="s">
        <v>194</v>
      </c>
      <c r="F25" s="60" t="s">
        <v>195</v>
      </c>
      <c r="G25" s="3" t="s">
        <v>196</v>
      </c>
      <c r="H25" s="3"/>
    </row>
    <row r="26" spans="1:8">
      <c r="A26" s="61" t="s">
        <v>197</v>
      </c>
      <c r="B26" s="62">
        <v>-25304.8572277202</v>
      </c>
      <c r="C26" s="63">
        <v>-4.2883119815691799</v>
      </c>
      <c r="D26" s="64">
        <v>2.4186914919788201E-5</v>
      </c>
      <c r="E26" s="65" t="s">
        <v>155</v>
      </c>
      <c r="F26" s="66" t="s">
        <v>198</v>
      </c>
      <c r="G26" s="89" t="s">
        <v>199</v>
      </c>
      <c r="H26" s="89"/>
    </row>
    <row r="27" spans="1:8">
      <c r="A27" s="61" t="s">
        <v>200</v>
      </c>
      <c r="B27" s="62">
        <v>-15351.7469848483</v>
      </c>
      <c r="C27" s="63">
        <v>-2.2994688572256701</v>
      </c>
      <c r="D27" s="64">
        <v>2.21537117928228E-2</v>
      </c>
      <c r="E27" s="65" t="s">
        <v>194</v>
      </c>
      <c r="F27" s="66" t="s">
        <v>198</v>
      </c>
      <c r="G27" s="89" t="s">
        <v>201</v>
      </c>
      <c r="H27" s="89"/>
    </row>
    <row r="28" spans="1:8">
      <c r="A28" s="61" t="s">
        <v>202</v>
      </c>
      <c r="B28" s="62">
        <v>-4221.3540967641202</v>
      </c>
      <c r="C28" s="63">
        <v>-0.61964046172481202</v>
      </c>
      <c r="D28" s="64">
        <v>0.535957135682533</v>
      </c>
      <c r="E28" s="67" t="s">
        <v>178</v>
      </c>
      <c r="F28" s="66" t="s">
        <v>198</v>
      </c>
      <c r="G28" s="89" t="s">
        <v>203</v>
      </c>
      <c r="H28" s="89"/>
    </row>
    <row r="29" spans="1:8">
      <c r="A29" s="61" t="s">
        <v>204</v>
      </c>
      <c r="B29" s="62">
        <v>44712.485383931198</v>
      </c>
      <c r="C29" s="63">
        <v>5.1074875317405697</v>
      </c>
      <c r="D29" s="64">
        <v>5.7630746286285696E-7</v>
      </c>
      <c r="E29" s="65" t="s">
        <v>155</v>
      </c>
      <c r="F29" s="66" t="s">
        <v>205</v>
      </c>
      <c r="G29" s="89" t="s">
        <v>206</v>
      </c>
      <c r="H29" s="89"/>
    </row>
    <row r="30" spans="1:8">
      <c r="A30" s="61" t="s">
        <v>207</v>
      </c>
      <c r="B30" s="62">
        <v>20252.1531736908</v>
      </c>
      <c r="C30" s="63">
        <v>3.63670863019202</v>
      </c>
      <c r="D30" s="64">
        <v>3.24084785162437E-4</v>
      </c>
      <c r="E30" s="65" t="s">
        <v>155</v>
      </c>
      <c r="F30" s="66" t="s">
        <v>205</v>
      </c>
      <c r="G30" s="89" t="s">
        <v>208</v>
      </c>
      <c r="H30" s="89"/>
    </row>
    <row r="31" spans="1:8">
      <c r="A31" s="61" t="s">
        <v>209</v>
      </c>
      <c r="B31" s="62">
        <v>32865.951094352997</v>
      </c>
      <c r="C31" s="63">
        <v>5.3345291442634704</v>
      </c>
      <c r="D31" s="64">
        <v>1.8704170656746999E-7</v>
      </c>
      <c r="E31" s="65" t="s">
        <v>155</v>
      </c>
      <c r="F31" s="66" t="s">
        <v>205</v>
      </c>
      <c r="G31" s="89" t="s">
        <v>210</v>
      </c>
      <c r="H31" s="89"/>
    </row>
    <row r="33" spans="1:8" ht="19.5" customHeight="1">
      <c r="A33" s="87" t="s">
        <v>161</v>
      </c>
      <c r="B33" s="87"/>
      <c r="C33" s="87"/>
      <c r="D33" s="87"/>
      <c r="E33" s="87"/>
      <c r="F33" s="87"/>
      <c r="G33" s="87"/>
      <c r="H33" s="87"/>
    </row>
    <row r="34" spans="1:8" ht="18" customHeight="1">
      <c r="A34" s="88" t="s">
        <v>211</v>
      </c>
      <c r="B34" s="88"/>
      <c r="C34" s="88"/>
      <c r="D34" s="88"/>
      <c r="E34" s="88"/>
      <c r="F34" s="88"/>
      <c r="G34" s="88"/>
      <c r="H34" s="88"/>
    </row>
    <row r="35" spans="1:8" ht="18" customHeight="1">
      <c r="A35" s="88" t="s">
        <v>212</v>
      </c>
      <c r="B35" s="88"/>
      <c r="C35" s="88"/>
      <c r="D35" s="88"/>
      <c r="E35" s="88"/>
      <c r="F35" s="88"/>
      <c r="G35" s="88"/>
      <c r="H35" s="88"/>
    </row>
    <row r="36" spans="1:8" ht="28.8" customHeight="1">
      <c r="A36" s="94" t="s">
        <v>213</v>
      </c>
      <c r="B36" s="94"/>
      <c r="C36" s="94"/>
      <c r="D36" s="94"/>
      <c r="E36" s="94"/>
      <c r="F36" s="94"/>
      <c r="G36" s="94"/>
      <c r="H36" s="94"/>
    </row>
    <row r="37" spans="1:8" ht="18" customHeight="1">
      <c r="A37" s="88" t="s">
        <v>214</v>
      </c>
      <c r="B37" s="88"/>
      <c r="C37" s="88"/>
      <c r="D37" s="88"/>
      <c r="E37" s="88"/>
      <c r="F37" s="88"/>
      <c r="G37" s="88"/>
      <c r="H37" s="88"/>
    </row>
    <row r="38" spans="1:8" ht="18" customHeight="1">
      <c r="A38" s="88" t="s">
        <v>215</v>
      </c>
      <c r="B38" s="88"/>
      <c r="C38" s="88"/>
      <c r="D38" s="88"/>
      <c r="E38" s="88"/>
      <c r="F38" s="88"/>
      <c r="G38" s="88"/>
      <c r="H38" s="88"/>
    </row>
    <row r="39" spans="1:8" ht="18" customHeight="1">
      <c r="A39" s="88" t="s">
        <v>216</v>
      </c>
      <c r="B39" s="88"/>
      <c r="C39" s="88"/>
      <c r="D39" s="88"/>
      <c r="E39" s="88"/>
      <c r="F39" s="88"/>
      <c r="G39" s="88"/>
      <c r="H39" s="88"/>
    </row>
  </sheetData>
  <mergeCells count="34">
    <mergeCell ref="A36:H36"/>
    <mergeCell ref="A37:H37"/>
    <mergeCell ref="A38:H38"/>
    <mergeCell ref="A39:H39"/>
    <mergeCell ref="G30:H30"/>
    <mergeCell ref="G31:H31"/>
    <mergeCell ref="A33:H33"/>
    <mergeCell ref="A34:H34"/>
    <mergeCell ref="A35:H35"/>
    <mergeCell ref="G25:H25"/>
    <mergeCell ref="G26:H26"/>
    <mergeCell ref="G27:H27"/>
    <mergeCell ref="G28:H28"/>
    <mergeCell ref="G29:H29"/>
    <mergeCell ref="G20:H20"/>
    <mergeCell ref="G21:H21"/>
    <mergeCell ref="G22:H22"/>
    <mergeCell ref="G23:H23"/>
    <mergeCell ref="G24:H24"/>
    <mergeCell ref="A15:H15"/>
    <mergeCell ref="G16:H16"/>
    <mergeCell ref="G17:H17"/>
    <mergeCell ref="G18:H18"/>
    <mergeCell ref="G19:H19"/>
    <mergeCell ref="C9:H9"/>
    <mergeCell ref="C10:H10"/>
    <mergeCell ref="C11:H11"/>
    <mergeCell ref="C12:H12"/>
    <mergeCell ref="C13:H13"/>
    <mergeCell ref="A1:H1"/>
    <mergeCell ref="A2:H2"/>
    <mergeCell ref="B4:H4"/>
    <mergeCell ref="A7:H7"/>
    <mergeCell ref="C8:H8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24"/>
  <sheetViews>
    <sheetView workbookViewId="0">
      <pane ySplit="2" topLeftCell="A3" activePane="bottomLeft" state="frozen"/>
      <selection pane="bottomLeft" activeCell="E3" sqref="E3"/>
    </sheetView>
  </sheetViews>
  <sheetFormatPr defaultColWidth="8.6640625" defaultRowHeight="14.4"/>
  <cols>
    <col min="1" max="1" width="11" customWidth="1"/>
    <col min="2" max="2" width="12" customWidth="1"/>
    <col min="3" max="9" width="15" customWidth="1"/>
  </cols>
  <sheetData>
    <row r="1" spans="1:9" ht="24" customHeight="1">
      <c r="A1" s="14" t="s">
        <v>217</v>
      </c>
      <c r="B1" s="14"/>
      <c r="C1" s="14"/>
      <c r="D1" s="14"/>
      <c r="E1" s="14"/>
      <c r="F1" s="14"/>
      <c r="G1" s="14"/>
      <c r="H1" s="14"/>
      <c r="I1" s="14"/>
    </row>
    <row r="2" spans="1:9" ht="36" customHeight="1">
      <c r="A2" s="68" t="s">
        <v>1</v>
      </c>
      <c r="B2" s="68" t="s">
        <v>2</v>
      </c>
      <c r="C2" s="68" t="s">
        <v>218</v>
      </c>
      <c r="D2" s="33" t="s">
        <v>219</v>
      </c>
      <c r="E2" s="33" t="s">
        <v>220</v>
      </c>
      <c r="F2" s="33" t="s">
        <v>221</v>
      </c>
      <c r="G2" s="34" t="s">
        <v>222</v>
      </c>
      <c r="H2" s="34" t="s">
        <v>223</v>
      </c>
      <c r="I2" s="34" t="s">
        <v>224</v>
      </c>
    </row>
    <row r="3" spans="1:9">
      <c r="A3" s="69" t="s">
        <v>15</v>
      </c>
      <c r="B3" s="70">
        <v>45658</v>
      </c>
      <c r="C3" s="38">
        <v>658832.62</v>
      </c>
      <c r="D3" s="38">
        <v>742609.6</v>
      </c>
      <c r="E3" s="71">
        <v>-83776.98</v>
      </c>
      <c r="F3" s="72">
        <v>-1.5746</v>
      </c>
      <c r="G3" s="38">
        <v>677208.05</v>
      </c>
      <c r="H3" s="71">
        <v>-18375.43</v>
      </c>
      <c r="I3" s="73">
        <v>-0.46879999999999999</v>
      </c>
    </row>
    <row r="4" spans="1:9">
      <c r="A4" s="74" t="s">
        <v>15</v>
      </c>
      <c r="B4" s="75">
        <v>45689</v>
      </c>
      <c r="C4" s="40">
        <v>634436</v>
      </c>
      <c r="D4" s="40">
        <v>749210.03</v>
      </c>
      <c r="E4" s="76">
        <v>-114774.03</v>
      </c>
      <c r="F4" s="77">
        <v>-2.1570999999999998</v>
      </c>
      <c r="G4" s="40">
        <v>679236.39</v>
      </c>
      <c r="H4" s="76">
        <v>-44800.39</v>
      </c>
      <c r="I4" s="78">
        <v>-1.143</v>
      </c>
    </row>
    <row r="5" spans="1:9">
      <c r="A5" s="69" t="s">
        <v>15</v>
      </c>
      <c r="B5" s="70">
        <v>45717</v>
      </c>
      <c r="C5" s="38">
        <v>678722.06</v>
      </c>
      <c r="D5" s="38">
        <v>771544.48</v>
      </c>
      <c r="E5" s="71">
        <v>-92822.42</v>
      </c>
      <c r="F5" s="72">
        <v>-1.7445999999999999</v>
      </c>
      <c r="G5" s="38">
        <v>696214.97</v>
      </c>
      <c r="H5" s="71">
        <v>-17492.91</v>
      </c>
      <c r="I5" s="73">
        <v>-0.44629999999999997</v>
      </c>
    </row>
    <row r="6" spans="1:9">
      <c r="A6" s="74" t="s">
        <v>15</v>
      </c>
      <c r="B6" s="75">
        <v>45748</v>
      </c>
      <c r="C6" s="40">
        <v>658920.30000000005</v>
      </c>
      <c r="D6" s="40">
        <v>782890.09</v>
      </c>
      <c r="E6" s="76">
        <v>-123969.79</v>
      </c>
      <c r="F6" s="77">
        <v>-2.33</v>
      </c>
      <c r="G6" s="40">
        <v>734649.92</v>
      </c>
      <c r="H6" s="76">
        <v>-75729.62</v>
      </c>
      <c r="I6" s="72">
        <v>-1.9320999999999999</v>
      </c>
    </row>
    <row r="7" spans="1:9">
      <c r="A7" s="69" t="s">
        <v>18</v>
      </c>
      <c r="B7" s="70">
        <v>45658</v>
      </c>
      <c r="C7" s="38">
        <v>741341.44</v>
      </c>
      <c r="D7" s="38">
        <v>786957.39</v>
      </c>
      <c r="E7" s="71">
        <v>-45615.95</v>
      </c>
      <c r="F7" s="73">
        <v>-0.85729999999999995</v>
      </c>
      <c r="G7" s="38">
        <v>788167.67</v>
      </c>
      <c r="H7" s="71">
        <v>-46826.23</v>
      </c>
      <c r="I7" s="73">
        <v>-1.1947000000000001</v>
      </c>
    </row>
    <row r="8" spans="1:9">
      <c r="A8" s="74" t="s">
        <v>18</v>
      </c>
      <c r="B8" s="75">
        <v>45689</v>
      </c>
      <c r="C8" s="40">
        <v>761835.34</v>
      </c>
      <c r="D8" s="40">
        <v>795769.86</v>
      </c>
      <c r="E8" s="76">
        <v>-33934.519999999997</v>
      </c>
      <c r="F8" s="78">
        <v>-0.63780000000000003</v>
      </c>
      <c r="G8" s="40">
        <v>773875.36</v>
      </c>
      <c r="H8" s="76">
        <v>-12040.02</v>
      </c>
      <c r="I8" s="78">
        <v>-0.30719999999999997</v>
      </c>
    </row>
    <row r="9" spans="1:9">
      <c r="A9" s="69" t="s">
        <v>18</v>
      </c>
      <c r="B9" s="70">
        <v>45717</v>
      </c>
      <c r="C9" s="38">
        <v>806615.54</v>
      </c>
      <c r="D9" s="38">
        <v>825168.56</v>
      </c>
      <c r="E9" s="71">
        <v>-18553.02</v>
      </c>
      <c r="F9" s="73">
        <v>-0.34870000000000001</v>
      </c>
      <c r="G9" s="38">
        <v>806759.96</v>
      </c>
      <c r="H9" s="71">
        <v>-144.41999999999999</v>
      </c>
      <c r="I9" s="73">
        <v>-3.7000000000000002E-3</v>
      </c>
    </row>
    <row r="10" spans="1:9">
      <c r="A10" s="74" t="s">
        <v>18</v>
      </c>
      <c r="B10" s="75">
        <v>45748</v>
      </c>
      <c r="C10" s="40">
        <v>850164.26</v>
      </c>
      <c r="D10" s="40">
        <v>752064.28</v>
      </c>
      <c r="E10" s="40">
        <v>98099.98</v>
      </c>
      <c r="F10" s="72">
        <v>1.8438000000000001</v>
      </c>
      <c r="G10" s="40">
        <v>792726.56</v>
      </c>
      <c r="H10" s="40">
        <v>57437.7</v>
      </c>
      <c r="I10" s="78">
        <v>1.4654</v>
      </c>
    </row>
    <row r="11" spans="1:9">
      <c r="A11" s="69" t="s">
        <v>20</v>
      </c>
      <c r="B11" s="70">
        <v>45658</v>
      </c>
      <c r="C11" s="38">
        <v>930581.7</v>
      </c>
      <c r="D11" s="38">
        <v>838119.69</v>
      </c>
      <c r="E11" s="38">
        <v>92462.01</v>
      </c>
      <c r="F11" s="72">
        <v>1.7378</v>
      </c>
      <c r="G11" s="38">
        <v>873224.17</v>
      </c>
      <c r="H11" s="38">
        <v>57357.53</v>
      </c>
      <c r="I11" s="73">
        <v>1.4633</v>
      </c>
    </row>
    <row r="12" spans="1:9">
      <c r="A12" s="74" t="s">
        <v>20</v>
      </c>
      <c r="B12" s="75">
        <v>45689</v>
      </c>
      <c r="C12" s="40">
        <v>779010.94</v>
      </c>
      <c r="D12" s="40">
        <v>783889.08</v>
      </c>
      <c r="E12" s="76">
        <v>-4878.1400000000003</v>
      </c>
      <c r="F12" s="78">
        <v>-9.1700000000000004E-2</v>
      </c>
      <c r="G12" s="40">
        <v>808058.55</v>
      </c>
      <c r="H12" s="76">
        <v>-29047.61</v>
      </c>
      <c r="I12" s="78">
        <v>-0.74109999999999998</v>
      </c>
    </row>
    <row r="13" spans="1:9">
      <c r="A13" s="69" t="s">
        <v>20</v>
      </c>
      <c r="B13" s="70">
        <v>45717</v>
      </c>
      <c r="C13" s="38">
        <v>723060.76</v>
      </c>
      <c r="D13" s="38">
        <v>773649.48</v>
      </c>
      <c r="E13" s="71">
        <v>-50588.72</v>
      </c>
      <c r="F13" s="73">
        <v>-0.95079999999999998</v>
      </c>
      <c r="G13" s="38">
        <v>754033.43</v>
      </c>
      <c r="H13" s="71">
        <v>-30972.67</v>
      </c>
      <c r="I13" s="73">
        <v>-0.79020000000000001</v>
      </c>
    </row>
    <row r="14" spans="1:9">
      <c r="A14" s="74" t="s">
        <v>20</v>
      </c>
      <c r="B14" s="75">
        <v>45748</v>
      </c>
      <c r="C14" s="40">
        <v>910791.94</v>
      </c>
      <c r="D14" s="40">
        <v>847074.87</v>
      </c>
      <c r="E14" s="40">
        <v>63717.07</v>
      </c>
      <c r="F14" s="78">
        <v>1.1975</v>
      </c>
      <c r="G14" s="40">
        <v>867768.53</v>
      </c>
      <c r="H14" s="40">
        <v>43023.41</v>
      </c>
      <c r="I14" s="78">
        <v>1.0975999999999999</v>
      </c>
    </row>
    <row r="15" spans="1:9">
      <c r="A15" s="69" t="s">
        <v>23</v>
      </c>
      <c r="B15" s="70">
        <v>45658</v>
      </c>
      <c r="C15" s="38">
        <v>922168.6</v>
      </c>
      <c r="D15" s="38">
        <v>902197.43</v>
      </c>
      <c r="E15" s="38">
        <v>19971.169999999998</v>
      </c>
      <c r="F15" s="73">
        <v>0.37540000000000001</v>
      </c>
      <c r="G15" s="38">
        <v>881464.45</v>
      </c>
      <c r="H15" s="38">
        <v>40704.15</v>
      </c>
      <c r="I15" s="73">
        <v>1.0385</v>
      </c>
    </row>
    <row r="16" spans="1:9">
      <c r="A16" s="74" t="s">
        <v>23</v>
      </c>
      <c r="B16" s="75">
        <v>45689</v>
      </c>
      <c r="C16" s="40">
        <v>726606.28</v>
      </c>
      <c r="D16" s="40">
        <v>805117.51</v>
      </c>
      <c r="E16" s="76">
        <v>-78511.23</v>
      </c>
      <c r="F16" s="78">
        <v>-1.4756</v>
      </c>
      <c r="G16" s="40">
        <v>772072.97</v>
      </c>
      <c r="H16" s="76">
        <v>-45466.69</v>
      </c>
      <c r="I16" s="78">
        <v>-1.1599999999999999</v>
      </c>
    </row>
    <row r="17" spans="1:9">
      <c r="A17" s="69" t="s">
        <v>23</v>
      </c>
      <c r="B17" s="70">
        <v>45717</v>
      </c>
      <c r="C17" s="38">
        <v>746501.09</v>
      </c>
      <c r="D17" s="38">
        <v>763766.67</v>
      </c>
      <c r="E17" s="71">
        <v>-17265.580000000002</v>
      </c>
      <c r="F17" s="73">
        <v>-0.32450000000000001</v>
      </c>
      <c r="G17" s="38">
        <v>753243.13</v>
      </c>
      <c r="H17" s="71">
        <v>-6742.04</v>
      </c>
      <c r="I17" s="73">
        <v>-0.17199999999999999</v>
      </c>
    </row>
    <row r="18" spans="1:9">
      <c r="A18" s="74" t="s">
        <v>23</v>
      </c>
      <c r="B18" s="75">
        <v>45748</v>
      </c>
      <c r="C18" s="40">
        <v>834017.02</v>
      </c>
      <c r="D18" s="40">
        <v>836728.24</v>
      </c>
      <c r="E18" s="76">
        <v>-2711.22</v>
      </c>
      <c r="F18" s="78">
        <v>-5.0999999999999997E-2</v>
      </c>
      <c r="G18" s="40">
        <v>808628.57</v>
      </c>
      <c r="H18" s="40">
        <v>25388.45</v>
      </c>
      <c r="I18" s="78">
        <v>0.64770000000000005</v>
      </c>
    </row>
    <row r="19" spans="1:9">
      <c r="A19" s="69" t="s">
        <v>24</v>
      </c>
      <c r="B19" s="70">
        <v>45658</v>
      </c>
      <c r="C19" s="38">
        <v>666152.52</v>
      </c>
      <c r="D19" s="38">
        <v>698190.45</v>
      </c>
      <c r="E19" s="71">
        <v>-32037.93</v>
      </c>
      <c r="F19" s="73">
        <v>-0.60209999999999997</v>
      </c>
      <c r="G19" s="38">
        <v>677711.15</v>
      </c>
      <c r="H19" s="71">
        <v>-11558.63</v>
      </c>
      <c r="I19" s="73">
        <v>-0.2949</v>
      </c>
    </row>
    <row r="20" spans="1:9">
      <c r="A20" s="74" t="s">
        <v>24</v>
      </c>
      <c r="B20" s="75">
        <v>45689</v>
      </c>
      <c r="C20" s="40">
        <v>573155.18999999994</v>
      </c>
      <c r="D20" s="40">
        <v>598506.03</v>
      </c>
      <c r="E20" s="76">
        <v>-25350.84</v>
      </c>
      <c r="F20" s="78">
        <v>-0.47649999999999998</v>
      </c>
      <c r="G20" s="40">
        <v>576925.61</v>
      </c>
      <c r="H20" s="76">
        <v>-3770.42</v>
      </c>
      <c r="I20" s="78">
        <v>-9.6199999999999994E-2</v>
      </c>
    </row>
    <row r="21" spans="1:9">
      <c r="A21" s="69" t="s">
        <v>24</v>
      </c>
      <c r="B21" s="70">
        <v>45717</v>
      </c>
      <c r="C21" s="38">
        <v>666573.19999999995</v>
      </c>
      <c r="D21" s="38">
        <v>643995.52</v>
      </c>
      <c r="E21" s="38">
        <v>22577.68</v>
      </c>
      <c r="F21" s="73">
        <v>0.42430000000000001</v>
      </c>
      <c r="G21" s="38">
        <v>698310.67</v>
      </c>
      <c r="H21" s="71">
        <v>-31737.47</v>
      </c>
      <c r="I21" s="73">
        <v>-0.80969999999999998</v>
      </c>
    </row>
    <row r="22" spans="1:9">
      <c r="A22" s="74" t="s">
        <v>24</v>
      </c>
      <c r="B22" s="75">
        <v>45748</v>
      </c>
      <c r="C22" s="40">
        <v>591619.94999999995</v>
      </c>
      <c r="D22" s="40">
        <v>619984.19999999995</v>
      </c>
      <c r="E22" s="76">
        <v>-28364.25</v>
      </c>
      <c r="F22" s="78">
        <v>-0.53310000000000002</v>
      </c>
      <c r="G22" s="40">
        <v>614134.75</v>
      </c>
      <c r="H22" s="76">
        <v>-22514.799999999999</v>
      </c>
      <c r="I22" s="78">
        <v>-0.57440000000000002</v>
      </c>
    </row>
    <row r="23" spans="1:9">
      <c r="A23" s="69" t="s">
        <v>26</v>
      </c>
      <c r="B23" s="70">
        <v>45658</v>
      </c>
      <c r="C23" s="38">
        <v>415721.82</v>
      </c>
      <c r="D23" s="38">
        <v>547093.99</v>
      </c>
      <c r="E23" s="71">
        <v>-131372.17000000001</v>
      </c>
      <c r="F23" s="77">
        <v>-2.4691000000000001</v>
      </c>
      <c r="G23" s="38">
        <v>485596.32</v>
      </c>
      <c r="H23" s="71">
        <v>-69874.5</v>
      </c>
      <c r="I23" s="72">
        <v>-1.7827</v>
      </c>
    </row>
    <row r="24" spans="1:9">
      <c r="A24" s="74" t="s">
        <v>26</v>
      </c>
      <c r="B24" s="75">
        <v>45689</v>
      </c>
      <c r="C24" s="40">
        <v>491905.13</v>
      </c>
      <c r="D24" s="40">
        <v>522083.69</v>
      </c>
      <c r="E24" s="76">
        <v>-30178.560000000001</v>
      </c>
      <c r="F24" s="78">
        <v>-0.56720000000000004</v>
      </c>
      <c r="G24" s="40">
        <v>503571.3</v>
      </c>
      <c r="H24" s="76">
        <v>-11666.17</v>
      </c>
      <c r="I24" s="78">
        <v>-0.29759999999999998</v>
      </c>
    </row>
    <row r="25" spans="1:9">
      <c r="A25" s="69" t="s">
        <v>26</v>
      </c>
      <c r="B25" s="70">
        <v>45717</v>
      </c>
      <c r="C25" s="38">
        <v>555929.4</v>
      </c>
      <c r="D25" s="38">
        <v>566431.48</v>
      </c>
      <c r="E25" s="71">
        <v>-10502.08</v>
      </c>
      <c r="F25" s="73">
        <v>-0.19739999999999999</v>
      </c>
      <c r="G25" s="38">
        <v>551863.06999999995</v>
      </c>
      <c r="H25" s="38">
        <v>4066.33</v>
      </c>
      <c r="I25" s="73">
        <v>0.1037</v>
      </c>
    </row>
    <row r="26" spans="1:9">
      <c r="A26" s="74" t="s">
        <v>26</v>
      </c>
      <c r="B26" s="75">
        <v>45748</v>
      </c>
      <c r="C26" s="40">
        <v>565810.99</v>
      </c>
      <c r="D26" s="40">
        <v>539637.28</v>
      </c>
      <c r="E26" s="40">
        <v>26173.71</v>
      </c>
      <c r="F26" s="78">
        <v>0.4919</v>
      </c>
      <c r="G26" s="40">
        <v>566627.85</v>
      </c>
      <c r="H26" s="76">
        <v>-816.86</v>
      </c>
      <c r="I26" s="78">
        <v>-2.0799999999999999E-2</v>
      </c>
    </row>
    <row r="27" spans="1:9">
      <c r="A27" s="69" t="s">
        <v>27</v>
      </c>
      <c r="B27" s="70">
        <v>45658</v>
      </c>
      <c r="C27" s="38">
        <v>811771.14</v>
      </c>
      <c r="D27" s="38">
        <v>810968.7</v>
      </c>
      <c r="E27" s="38">
        <v>802.44</v>
      </c>
      <c r="F27" s="73">
        <v>1.5100000000000001E-2</v>
      </c>
      <c r="G27" s="38">
        <v>855469.62</v>
      </c>
      <c r="H27" s="71">
        <v>-43698.48</v>
      </c>
      <c r="I27" s="73">
        <v>-1.1149</v>
      </c>
    </row>
    <row r="28" spans="1:9">
      <c r="A28" s="74" t="s">
        <v>27</v>
      </c>
      <c r="B28" s="75">
        <v>45689</v>
      </c>
      <c r="C28" s="40">
        <v>800451.94</v>
      </c>
      <c r="D28" s="40">
        <v>764908.37</v>
      </c>
      <c r="E28" s="40">
        <v>35543.57</v>
      </c>
      <c r="F28" s="78">
        <v>0.66800000000000004</v>
      </c>
      <c r="G28" s="40">
        <v>912318.01</v>
      </c>
      <c r="H28" s="76">
        <v>-111866.07</v>
      </c>
      <c r="I28" s="77">
        <v>-2.8540000000000001</v>
      </c>
    </row>
    <row r="29" spans="1:9">
      <c r="A29" s="69" t="s">
        <v>27</v>
      </c>
      <c r="B29" s="70">
        <v>45717</v>
      </c>
      <c r="C29" s="38">
        <v>783672.82</v>
      </c>
      <c r="D29" s="38">
        <v>778751.44</v>
      </c>
      <c r="E29" s="38">
        <v>4921.38</v>
      </c>
      <c r="F29" s="73">
        <v>9.2499999999999999E-2</v>
      </c>
      <c r="G29" s="38">
        <v>809435.53</v>
      </c>
      <c r="H29" s="71">
        <v>-25762.71</v>
      </c>
      <c r="I29" s="73">
        <v>-0.6573</v>
      </c>
    </row>
    <row r="30" spans="1:9">
      <c r="A30" s="74" t="s">
        <v>27</v>
      </c>
      <c r="B30" s="75">
        <v>45748</v>
      </c>
      <c r="C30" s="40">
        <v>701641.97</v>
      </c>
      <c r="D30" s="40">
        <v>704113</v>
      </c>
      <c r="E30" s="76">
        <v>-2471.0300000000002</v>
      </c>
      <c r="F30" s="78">
        <v>-4.6399999999999997E-2</v>
      </c>
      <c r="G30" s="40">
        <v>660679.59</v>
      </c>
      <c r="H30" s="40">
        <v>40962.379999999997</v>
      </c>
      <c r="I30" s="78">
        <v>1.0450999999999999</v>
      </c>
    </row>
    <row r="31" spans="1:9">
      <c r="A31" s="69" t="s">
        <v>30</v>
      </c>
      <c r="B31" s="70">
        <v>45658</v>
      </c>
      <c r="C31" s="38">
        <v>511844.41</v>
      </c>
      <c r="D31" s="38">
        <v>588694.56999999995</v>
      </c>
      <c r="E31" s="71">
        <v>-76850.16</v>
      </c>
      <c r="F31" s="73">
        <v>-1.4443999999999999</v>
      </c>
      <c r="G31" s="38">
        <v>570803.68000000005</v>
      </c>
      <c r="H31" s="71">
        <v>-58959.27</v>
      </c>
      <c r="I31" s="72">
        <v>-1.5042</v>
      </c>
    </row>
    <row r="32" spans="1:9">
      <c r="A32" s="74" t="s">
        <v>30</v>
      </c>
      <c r="B32" s="75">
        <v>45689</v>
      </c>
      <c r="C32" s="40">
        <v>537383.79</v>
      </c>
      <c r="D32" s="40">
        <v>531681.07999999996</v>
      </c>
      <c r="E32" s="40">
        <v>5702.71</v>
      </c>
      <c r="F32" s="78">
        <v>0.1072</v>
      </c>
      <c r="G32" s="40">
        <v>511830.72</v>
      </c>
      <c r="H32" s="40">
        <v>25553.07</v>
      </c>
      <c r="I32" s="78">
        <v>0.65190000000000003</v>
      </c>
    </row>
    <row r="33" spans="1:9">
      <c r="A33" s="69" t="s">
        <v>30</v>
      </c>
      <c r="B33" s="70">
        <v>45717</v>
      </c>
      <c r="C33" s="38">
        <v>500173.02</v>
      </c>
      <c r="D33" s="38">
        <v>534571</v>
      </c>
      <c r="E33" s="71">
        <v>-34397.980000000003</v>
      </c>
      <c r="F33" s="73">
        <v>-0.64649999999999996</v>
      </c>
      <c r="G33" s="38">
        <v>515968.57</v>
      </c>
      <c r="H33" s="71">
        <v>-15795.55</v>
      </c>
      <c r="I33" s="73">
        <v>-0.40300000000000002</v>
      </c>
    </row>
    <row r="34" spans="1:9">
      <c r="A34" s="74" t="s">
        <v>30</v>
      </c>
      <c r="B34" s="75">
        <v>45748</v>
      </c>
      <c r="C34" s="40">
        <v>427917.38</v>
      </c>
      <c r="D34" s="40">
        <v>481053.95</v>
      </c>
      <c r="E34" s="76">
        <v>-53136.57</v>
      </c>
      <c r="F34" s="78">
        <v>-0.99870000000000003</v>
      </c>
      <c r="G34" s="40">
        <v>441799.76</v>
      </c>
      <c r="H34" s="76">
        <v>-13882.38</v>
      </c>
      <c r="I34" s="78">
        <v>-0.35420000000000001</v>
      </c>
    </row>
    <row r="35" spans="1:9">
      <c r="A35" s="69" t="s">
        <v>31</v>
      </c>
      <c r="B35" s="70">
        <v>45658</v>
      </c>
      <c r="C35" s="38">
        <v>641865.03</v>
      </c>
      <c r="D35" s="38">
        <v>782818.74</v>
      </c>
      <c r="E35" s="71">
        <v>-140953.71</v>
      </c>
      <c r="F35" s="77">
        <v>-2.6492</v>
      </c>
      <c r="G35" s="38">
        <v>708552.22</v>
      </c>
      <c r="H35" s="71">
        <v>-66687.19</v>
      </c>
      <c r="I35" s="72">
        <v>-1.7014</v>
      </c>
    </row>
    <row r="36" spans="1:9">
      <c r="A36" s="74" t="s">
        <v>31</v>
      </c>
      <c r="B36" s="75">
        <v>45689</v>
      </c>
      <c r="C36" s="40">
        <v>799477.76000000001</v>
      </c>
      <c r="D36" s="40">
        <v>863665.16</v>
      </c>
      <c r="E36" s="76">
        <v>-64187.4</v>
      </c>
      <c r="F36" s="78">
        <v>-1.2063999999999999</v>
      </c>
      <c r="G36" s="40">
        <v>852552.46</v>
      </c>
      <c r="H36" s="76">
        <v>-53074.7</v>
      </c>
      <c r="I36" s="78">
        <v>-1.3541000000000001</v>
      </c>
    </row>
    <row r="37" spans="1:9">
      <c r="A37" s="69" t="s">
        <v>31</v>
      </c>
      <c r="B37" s="70">
        <v>45717</v>
      </c>
      <c r="C37" s="38">
        <v>798952.17</v>
      </c>
      <c r="D37" s="38">
        <v>783532.3</v>
      </c>
      <c r="E37" s="38">
        <v>15419.87</v>
      </c>
      <c r="F37" s="73">
        <v>0.2898</v>
      </c>
      <c r="G37" s="38">
        <v>797540.17</v>
      </c>
      <c r="H37" s="38">
        <v>1412</v>
      </c>
      <c r="I37" s="73">
        <v>3.5999999999999997E-2</v>
      </c>
    </row>
    <row r="38" spans="1:9">
      <c r="A38" s="74" t="s">
        <v>31</v>
      </c>
      <c r="B38" s="75">
        <v>45748</v>
      </c>
      <c r="C38" s="40">
        <v>800979.78</v>
      </c>
      <c r="D38" s="40">
        <v>819353.04</v>
      </c>
      <c r="E38" s="76">
        <v>-18373.259999999998</v>
      </c>
      <c r="F38" s="78">
        <v>-0.3453</v>
      </c>
      <c r="G38" s="40">
        <v>804847.24</v>
      </c>
      <c r="H38" s="76">
        <v>-3867.46</v>
      </c>
      <c r="I38" s="78">
        <v>-9.8699999999999996E-2</v>
      </c>
    </row>
    <row r="39" spans="1:9">
      <c r="A39" s="69" t="s">
        <v>32</v>
      </c>
      <c r="B39" s="70">
        <v>45658</v>
      </c>
      <c r="C39" s="38">
        <v>820593.93</v>
      </c>
      <c r="D39" s="38">
        <v>761733.02</v>
      </c>
      <c r="E39" s="38">
        <v>58860.91</v>
      </c>
      <c r="F39" s="73">
        <v>1.1063000000000001</v>
      </c>
      <c r="G39" s="38">
        <v>776222.4</v>
      </c>
      <c r="H39" s="38">
        <v>44371.53</v>
      </c>
      <c r="I39" s="73">
        <v>1.1319999999999999</v>
      </c>
    </row>
    <row r="40" spans="1:9">
      <c r="A40" s="74" t="s">
        <v>32</v>
      </c>
      <c r="B40" s="75">
        <v>45689</v>
      </c>
      <c r="C40" s="40">
        <v>718330.53</v>
      </c>
      <c r="D40" s="40">
        <v>737400.6</v>
      </c>
      <c r="E40" s="76">
        <v>-19070.07</v>
      </c>
      <c r="F40" s="78">
        <v>-0.3584</v>
      </c>
      <c r="G40" s="40">
        <v>742579.37</v>
      </c>
      <c r="H40" s="76">
        <v>-24248.84</v>
      </c>
      <c r="I40" s="78">
        <v>-0.61870000000000003</v>
      </c>
    </row>
    <row r="41" spans="1:9">
      <c r="A41" s="69" t="s">
        <v>32</v>
      </c>
      <c r="B41" s="70">
        <v>45717</v>
      </c>
      <c r="C41" s="38">
        <v>736633.4</v>
      </c>
      <c r="D41" s="38">
        <v>716207.85</v>
      </c>
      <c r="E41" s="38">
        <v>20425.55</v>
      </c>
      <c r="F41" s="73">
        <v>0.38390000000000002</v>
      </c>
      <c r="G41" s="38">
        <v>749101.15</v>
      </c>
      <c r="H41" s="71">
        <v>-12467.75</v>
      </c>
      <c r="I41" s="73">
        <v>-0.31809999999999999</v>
      </c>
    </row>
    <row r="42" spans="1:9">
      <c r="A42" s="74" t="s">
        <v>32</v>
      </c>
      <c r="B42" s="75">
        <v>45748</v>
      </c>
      <c r="C42" s="40">
        <v>828623.85</v>
      </c>
      <c r="D42" s="40">
        <v>788848.33</v>
      </c>
      <c r="E42" s="40">
        <v>39775.519999999997</v>
      </c>
      <c r="F42" s="78">
        <v>0.74760000000000004</v>
      </c>
      <c r="G42" s="40">
        <v>851639.27</v>
      </c>
      <c r="H42" s="76">
        <v>-23015.42</v>
      </c>
      <c r="I42" s="78">
        <v>-0.58720000000000006</v>
      </c>
    </row>
    <row r="43" spans="1:9">
      <c r="A43" s="69" t="s">
        <v>33</v>
      </c>
      <c r="B43" s="70">
        <v>45658</v>
      </c>
      <c r="C43" s="38">
        <v>592195.85</v>
      </c>
      <c r="D43" s="38">
        <v>576992.18000000005</v>
      </c>
      <c r="E43" s="38">
        <v>15203.67</v>
      </c>
      <c r="F43" s="73">
        <v>0.28570000000000001</v>
      </c>
      <c r="G43" s="38">
        <v>580387.06999999995</v>
      </c>
      <c r="H43" s="38">
        <v>11808.78</v>
      </c>
      <c r="I43" s="73">
        <v>0.30130000000000001</v>
      </c>
    </row>
    <row r="44" spans="1:9">
      <c r="A44" s="74" t="s">
        <v>33</v>
      </c>
      <c r="B44" s="75">
        <v>45689</v>
      </c>
      <c r="C44" s="40">
        <v>532644.46</v>
      </c>
      <c r="D44" s="40">
        <v>561543.59</v>
      </c>
      <c r="E44" s="76">
        <v>-28899.13</v>
      </c>
      <c r="F44" s="78">
        <v>-0.54310000000000003</v>
      </c>
      <c r="G44" s="40">
        <v>529866.97</v>
      </c>
      <c r="H44" s="40">
        <v>2777.49</v>
      </c>
      <c r="I44" s="78">
        <v>7.0900000000000005E-2</v>
      </c>
    </row>
    <row r="45" spans="1:9">
      <c r="A45" s="69" t="s">
        <v>33</v>
      </c>
      <c r="B45" s="70">
        <v>45717</v>
      </c>
      <c r="C45" s="38">
        <v>657429.18000000005</v>
      </c>
      <c r="D45" s="38">
        <v>566288.77</v>
      </c>
      <c r="E45" s="38">
        <v>91140.41</v>
      </c>
      <c r="F45" s="72">
        <v>1.7130000000000001</v>
      </c>
      <c r="G45" s="38">
        <v>623578.23</v>
      </c>
      <c r="H45" s="38">
        <v>33850.949999999997</v>
      </c>
      <c r="I45" s="73">
        <v>0.86360000000000003</v>
      </c>
    </row>
    <row r="46" spans="1:9">
      <c r="A46" s="74" t="s">
        <v>33</v>
      </c>
      <c r="B46" s="75">
        <v>45748</v>
      </c>
      <c r="C46" s="40">
        <v>605178</v>
      </c>
      <c r="D46" s="40">
        <v>576349.97</v>
      </c>
      <c r="E46" s="40">
        <v>28828.03</v>
      </c>
      <c r="F46" s="78">
        <v>0.54179999999999995</v>
      </c>
      <c r="G46" s="40">
        <v>603150.66</v>
      </c>
      <c r="H46" s="40">
        <v>2027.34</v>
      </c>
      <c r="I46" s="78">
        <v>5.1700000000000003E-2</v>
      </c>
    </row>
    <row r="47" spans="1:9">
      <c r="A47" s="69" t="s">
        <v>34</v>
      </c>
      <c r="B47" s="70">
        <v>45658</v>
      </c>
      <c r="C47" s="38">
        <v>595467.6</v>
      </c>
      <c r="D47" s="38">
        <v>629974.05000000005</v>
      </c>
      <c r="E47" s="71">
        <v>-34506.449999999997</v>
      </c>
      <c r="F47" s="73">
        <v>-0.64849999999999997</v>
      </c>
      <c r="G47" s="38">
        <v>709992.33</v>
      </c>
      <c r="H47" s="71">
        <v>-114524.73</v>
      </c>
      <c r="I47" s="77">
        <v>-2.9218000000000002</v>
      </c>
    </row>
    <row r="48" spans="1:9">
      <c r="A48" s="74" t="s">
        <v>34</v>
      </c>
      <c r="B48" s="75">
        <v>45689</v>
      </c>
      <c r="C48" s="40">
        <v>599603.4</v>
      </c>
      <c r="D48" s="40">
        <v>605534.6</v>
      </c>
      <c r="E48" s="76">
        <v>-5931.2</v>
      </c>
      <c r="F48" s="78">
        <v>-0.1115</v>
      </c>
      <c r="G48" s="40">
        <v>632032.09</v>
      </c>
      <c r="H48" s="76">
        <v>-32428.69</v>
      </c>
      <c r="I48" s="78">
        <v>-0.82730000000000004</v>
      </c>
    </row>
    <row r="49" spans="1:9">
      <c r="A49" s="69" t="s">
        <v>34</v>
      </c>
      <c r="B49" s="70">
        <v>45717</v>
      </c>
      <c r="C49" s="38">
        <v>614800.09</v>
      </c>
      <c r="D49" s="38">
        <v>582129.81000000006</v>
      </c>
      <c r="E49" s="38">
        <v>32670.28</v>
      </c>
      <c r="F49" s="73">
        <v>0.61399999999999999</v>
      </c>
      <c r="G49" s="38">
        <v>589784.21</v>
      </c>
      <c r="H49" s="38">
        <v>25015.88</v>
      </c>
      <c r="I49" s="73">
        <v>0.63819999999999999</v>
      </c>
    </row>
    <row r="50" spans="1:9">
      <c r="A50" s="74" t="s">
        <v>34</v>
      </c>
      <c r="B50" s="75">
        <v>45748</v>
      </c>
      <c r="C50" s="40">
        <v>585365.73</v>
      </c>
      <c r="D50" s="40">
        <v>591762.88</v>
      </c>
      <c r="E50" s="76">
        <v>-6397.15</v>
      </c>
      <c r="F50" s="78">
        <v>-0.1202</v>
      </c>
      <c r="G50" s="40">
        <v>553144.22</v>
      </c>
      <c r="H50" s="40">
        <v>32221.51</v>
      </c>
      <c r="I50" s="78">
        <v>0.82210000000000005</v>
      </c>
    </row>
    <row r="51" spans="1:9">
      <c r="A51" s="69" t="s">
        <v>35</v>
      </c>
      <c r="B51" s="70">
        <v>45658</v>
      </c>
      <c r="C51" s="38">
        <v>622811.74</v>
      </c>
      <c r="D51" s="38">
        <v>628511.25</v>
      </c>
      <c r="E51" s="71">
        <v>-5699.51</v>
      </c>
      <c r="F51" s="73">
        <v>-0.1071</v>
      </c>
      <c r="G51" s="38">
        <v>674232.71</v>
      </c>
      <c r="H51" s="71">
        <v>-51420.97</v>
      </c>
      <c r="I51" s="73">
        <v>-1.3119000000000001</v>
      </c>
    </row>
    <row r="52" spans="1:9">
      <c r="A52" s="74" t="s">
        <v>35</v>
      </c>
      <c r="B52" s="75">
        <v>45689</v>
      </c>
      <c r="C52" s="40">
        <v>603297.56999999995</v>
      </c>
      <c r="D52" s="40">
        <v>644744.76</v>
      </c>
      <c r="E52" s="76">
        <v>-41447.19</v>
      </c>
      <c r="F52" s="78">
        <v>-0.77900000000000003</v>
      </c>
      <c r="G52" s="40">
        <v>580144.17000000004</v>
      </c>
      <c r="H52" s="40">
        <v>23153.4</v>
      </c>
      <c r="I52" s="78">
        <v>0.5907</v>
      </c>
    </row>
    <row r="53" spans="1:9">
      <c r="A53" s="69" t="s">
        <v>35</v>
      </c>
      <c r="B53" s="70">
        <v>45717</v>
      </c>
      <c r="C53" s="38">
        <v>625672.86</v>
      </c>
      <c r="D53" s="38">
        <v>630152.43999999994</v>
      </c>
      <c r="E53" s="71">
        <v>-4479.58</v>
      </c>
      <c r="F53" s="73">
        <v>-8.4199999999999997E-2</v>
      </c>
      <c r="G53" s="38">
        <v>602307.02</v>
      </c>
      <c r="H53" s="38">
        <v>23365.84</v>
      </c>
      <c r="I53" s="73">
        <v>0.59609999999999996</v>
      </c>
    </row>
    <row r="54" spans="1:9">
      <c r="A54" s="74" t="s">
        <v>35</v>
      </c>
      <c r="B54" s="75">
        <v>45748</v>
      </c>
      <c r="C54" s="40">
        <v>773815.14</v>
      </c>
      <c r="D54" s="40">
        <v>702899.95</v>
      </c>
      <c r="E54" s="40">
        <v>70915.19</v>
      </c>
      <c r="F54" s="78">
        <v>1.3328</v>
      </c>
      <c r="G54" s="40">
        <v>744267.15</v>
      </c>
      <c r="H54" s="40">
        <v>29547.99</v>
      </c>
      <c r="I54" s="78">
        <v>0.75380000000000003</v>
      </c>
    </row>
    <row r="55" spans="1:9">
      <c r="A55" s="69" t="s">
        <v>36</v>
      </c>
      <c r="B55" s="70">
        <v>45658</v>
      </c>
      <c r="C55" s="38">
        <v>463534.25</v>
      </c>
      <c r="D55" s="38">
        <v>563398.85</v>
      </c>
      <c r="E55" s="71">
        <v>-99864.6</v>
      </c>
      <c r="F55" s="72">
        <v>-1.8769</v>
      </c>
      <c r="G55" s="38">
        <v>500089.3</v>
      </c>
      <c r="H55" s="71">
        <v>-36555.050000000003</v>
      </c>
      <c r="I55" s="73">
        <v>-0.93259999999999998</v>
      </c>
    </row>
    <row r="56" spans="1:9">
      <c r="A56" s="74" t="s">
        <v>36</v>
      </c>
      <c r="B56" s="75">
        <v>45689</v>
      </c>
      <c r="C56" s="40">
        <v>746677.75</v>
      </c>
      <c r="D56" s="40">
        <v>656447.15</v>
      </c>
      <c r="E56" s="40">
        <v>90230.6</v>
      </c>
      <c r="F56" s="72">
        <v>1.6959</v>
      </c>
      <c r="G56" s="40">
        <v>716227.65</v>
      </c>
      <c r="H56" s="40">
        <v>30450.1</v>
      </c>
      <c r="I56" s="78">
        <v>0.77690000000000003</v>
      </c>
    </row>
    <row r="57" spans="1:9">
      <c r="A57" s="69" t="s">
        <v>36</v>
      </c>
      <c r="B57" s="70">
        <v>45717</v>
      </c>
      <c r="C57" s="38">
        <v>720852.5</v>
      </c>
      <c r="D57" s="38">
        <v>643210.6</v>
      </c>
      <c r="E57" s="38">
        <v>77641.899999999994</v>
      </c>
      <c r="F57" s="73">
        <v>1.4593</v>
      </c>
      <c r="G57" s="38">
        <v>698050.53</v>
      </c>
      <c r="H57" s="38">
        <v>22801.97</v>
      </c>
      <c r="I57" s="73">
        <v>0.58169999999999999</v>
      </c>
    </row>
    <row r="58" spans="1:9">
      <c r="A58" s="74" t="s">
        <v>36</v>
      </c>
      <c r="B58" s="75">
        <v>45748</v>
      </c>
      <c r="C58" s="40">
        <v>487464.91</v>
      </c>
      <c r="D58" s="40">
        <v>548556.79</v>
      </c>
      <c r="E58" s="76">
        <v>-61091.88</v>
      </c>
      <c r="F58" s="78">
        <v>-1.1482000000000001</v>
      </c>
      <c r="G58" s="40">
        <v>564485.06999999995</v>
      </c>
      <c r="H58" s="76">
        <v>-77020.160000000003</v>
      </c>
      <c r="I58" s="72">
        <v>-1.9650000000000001</v>
      </c>
    </row>
    <row r="59" spans="1:9">
      <c r="A59" s="69" t="s">
        <v>37</v>
      </c>
      <c r="B59" s="70">
        <v>45658</v>
      </c>
      <c r="C59" s="38">
        <v>518049.26</v>
      </c>
      <c r="D59" s="38">
        <v>531252.93999999994</v>
      </c>
      <c r="E59" s="71">
        <v>-13203.68</v>
      </c>
      <c r="F59" s="73">
        <v>-0.2482</v>
      </c>
      <c r="G59" s="38">
        <v>550325.01</v>
      </c>
      <c r="H59" s="71">
        <v>-32275.75</v>
      </c>
      <c r="I59" s="73">
        <v>-0.82340000000000002</v>
      </c>
    </row>
    <row r="60" spans="1:9">
      <c r="A60" s="74" t="s">
        <v>37</v>
      </c>
      <c r="B60" s="75">
        <v>45689</v>
      </c>
      <c r="C60" s="40">
        <v>500298.48</v>
      </c>
      <c r="D60" s="40">
        <v>536140.82999999996</v>
      </c>
      <c r="E60" s="76">
        <v>-35842.35</v>
      </c>
      <c r="F60" s="78">
        <v>-0.67359999999999998</v>
      </c>
      <c r="G60" s="40">
        <v>528909.35</v>
      </c>
      <c r="H60" s="76">
        <v>-28610.87</v>
      </c>
      <c r="I60" s="78">
        <v>-0.72989999999999999</v>
      </c>
    </row>
    <row r="61" spans="1:9">
      <c r="A61" s="69" t="s">
        <v>37</v>
      </c>
      <c r="B61" s="70">
        <v>45717</v>
      </c>
      <c r="C61" s="38">
        <v>617291.15</v>
      </c>
      <c r="D61" s="38">
        <v>589907.62</v>
      </c>
      <c r="E61" s="38">
        <v>27383.53</v>
      </c>
      <c r="F61" s="73">
        <v>0.51470000000000005</v>
      </c>
      <c r="G61" s="38">
        <v>677996.04</v>
      </c>
      <c r="H61" s="71">
        <v>-60704.89</v>
      </c>
      <c r="I61" s="72">
        <v>-1.5487</v>
      </c>
    </row>
    <row r="62" spans="1:9">
      <c r="A62" s="74" t="s">
        <v>37</v>
      </c>
      <c r="B62" s="75">
        <v>45748</v>
      </c>
      <c r="C62" s="40">
        <v>553756.43000000005</v>
      </c>
      <c r="D62" s="40">
        <v>602573.31999999995</v>
      </c>
      <c r="E62" s="76">
        <v>-48816.89</v>
      </c>
      <c r="F62" s="78">
        <v>-0.91749999999999998</v>
      </c>
      <c r="G62" s="40">
        <v>578830.48</v>
      </c>
      <c r="H62" s="76">
        <v>-25074.05</v>
      </c>
      <c r="I62" s="78">
        <v>-0.63970000000000005</v>
      </c>
    </row>
    <row r="63" spans="1:9">
      <c r="A63" s="69" t="s">
        <v>38</v>
      </c>
      <c r="B63" s="70">
        <v>45658</v>
      </c>
      <c r="C63" s="38">
        <v>749559.71</v>
      </c>
      <c r="D63" s="38">
        <v>635718.22</v>
      </c>
      <c r="E63" s="38">
        <v>113841.49</v>
      </c>
      <c r="F63" s="77">
        <v>2.1396000000000002</v>
      </c>
      <c r="G63" s="38">
        <v>707741.3</v>
      </c>
      <c r="H63" s="38">
        <v>41818.410000000003</v>
      </c>
      <c r="I63" s="73">
        <v>1.0669</v>
      </c>
    </row>
    <row r="64" spans="1:9">
      <c r="A64" s="74" t="s">
        <v>38</v>
      </c>
      <c r="B64" s="75">
        <v>45689</v>
      </c>
      <c r="C64" s="40">
        <v>615966.48</v>
      </c>
      <c r="D64" s="40">
        <v>586553.89</v>
      </c>
      <c r="E64" s="40">
        <v>29412.59</v>
      </c>
      <c r="F64" s="78">
        <v>0.55279999999999996</v>
      </c>
      <c r="G64" s="40">
        <v>581260.49</v>
      </c>
      <c r="H64" s="40">
        <v>34705.99</v>
      </c>
      <c r="I64" s="78">
        <v>0.88539999999999996</v>
      </c>
    </row>
    <row r="65" spans="1:9">
      <c r="A65" s="69" t="s">
        <v>38</v>
      </c>
      <c r="B65" s="70">
        <v>45717</v>
      </c>
      <c r="C65" s="38">
        <v>572011.19999999995</v>
      </c>
      <c r="D65" s="38">
        <v>583592.61</v>
      </c>
      <c r="E65" s="71">
        <v>-11581.41</v>
      </c>
      <c r="F65" s="73">
        <v>-0.2177</v>
      </c>
      <c r="G65" s="38">
        <v>571134.03</v>
      </c>
      <c r="H65" s="38">
        <v>877.17</v>
      </c>
      <c r="I65" s="73">
        <v>2.24E-2</v>
      </c>
    </row>
    <row r="66" spans="1:9">
      <c r="A66" s="74" t="s">
        <v>38</v>
      </c>
      <c r="B66" s="75">
        <v>45748</v>
      </c>
      <c r="C66" s="40">
        <v>761860.19</v>
      </c>
      <c r="D66" s="40">
        <v>682599.15</v>
      </c>
      <c r="E66" s="40">
        <v>79261.039999999994</v>
      </c>
      <c r="F66" s="78">
        <v>1.4897</v>
      </c>
      <c r="G66" s="40">
        <v>730988.25</v>
      </c>
      <c r="H66" s="40">
        <v>30871.94</v>
      </c>
      <c r="I66" s="78">
        <v>0.78759999999999997</v>
      </c>
    </row>
    <row r="67" spans="1:9">
      <c r="A67" s="69" t="s">
        <v>39</v>
      </c>
      <c r="B67" s="70">
        <v>45658</v>
      </c>
      <c r="C67" s="38">
        <v>784502.68</v>
      </c>
      <c r="D67" s="38">
        <v>773756.52</v>
      </c>
      <c r="E67" s="38">
        <v>10746.16</v>
      </c>
      <c r="F67" s="73">
        <v>0.20200000000000001</v>
      </c>
      <c r="G67" s="38">
        <v>827098.38</v>
      </c>
      <c r="H67" s="71">
        <v>-42595.7</v>
      </c>
      <c r="I67" s="73">
        <v>-1.0867</v>
      </c>
    </row>
    <row r="68" spans="1:9">
      <c r="A68" s="74" t="s">
        <v>39</v>
      </c>
      <c r="B68" s="75">
        <v>45689</v>
      </c>
      <c r="C68" s="40">
        <v>717141.55</v>
      </c>
      <c r="D68" s="40">
        <v>729694.15</v>
      </c>
      <c r="E68" s="76">
        <v>-12552.6</v>
      </c>
      <c r="F68" s="78">
        <v>-0.2359</v>
      </c>
      <c r="G68" s="40">
        <v>716045.86</v>
      </c>
      <c r="H68" s="40">
        <v>1095.69</v>
      </c>
      <c r="I68" s="78">
        <v>2.8000000000000001E-2</v>
      </c>
    </row>
    <row r="69" spans="1:9">
      <c r="A69" s="69" t="s">
        <v>39</v>
      </c>
      <c r="B69" s="70">
        <v>45717</v>
      </c>
      <c r="C69" s="38">
        <v>685379.08</v>
      </c>
      <c r="D69" s="38">
        <v>789918.67</v>
      </c>
      <c r="E69" s="71">
        <v>-104539.59</v>
      </c>
      <c r="F69" s="72">
        <v>-1.9648000000000001</v>
      </c>
      <c r="G69" s="38">
        <v>805392</v>
      </c>
      <c r="H69" s="71">
        <v>-120012.92</v>
      </c>
      <c r="I69" s="77">
        <v>-3.0617999999999999</v>
      </c>
    </row>
    <row r="70" spans="1:9">
      <c r="A70" s="74" t="s">
        <v>39</v>
      </c>
      <c r="B70" s="75">
        <v>45748</v>
      </c>
      <c r="C70" s="40">
        <v>740496.65</v>
      </c>
      <c r="D70" s="40">
        <v>742395.53</v>
      </c>
      <c r="E70" s="76">
        <v>-1898.88</v>
      </c>
      <c r="F70" s="78">
        <v>-3.5700000000000003E-2</v>
      </c>
      <c r="G70" s="40">
        <v>740725.61</v>
      </c>
      <c r="H70" s="76">
        <v>-228.96</v>
      </c>
      <c r="I70" s="78">
        <v>-5.7999999999999996E-3</v>
      </c>
    </row>
    <row r="71" spans="1:9">
      <c r="A71" s="69" t="s">
        <v>40</v>
      </c>
      <c r="B71" s="70">
        <v>45658</v>
      </c>
      <c r="C71" s="38">
        <v>661927.14</v>
      </c>
      <c r="D71" s="38">
        <v>574673.1</v>
      </c>
      <c r="E71" s="38">
        <v>87254.04</v>
      </c>
      <c r="F71" s="72">
        <v>1.6398999999999999</v>
      </c>
      <c r="G71" s="38">
        <v>597804.99</v>
      </c>
      <c r="H71" s="38">
        <v>64122.15</v>
      </c>
      <c r="I71" s="72">
        <v>1.6358999999999999</v>
      </c>
    </row>
    <row r="72" spans="1:9">
      <c r="A72" s="74" t="s">
        <v>40</v>
      </c>
      <c r="B72" s="75">
        <v>45689</v>
      </c>
      <c r="C72" s="40">
        <v>479050.5</v>
      </c>
      <c r="D72" s="40">
        <v>547522.12</v>
      </c>
      <c r="E72" s="76">
        <v>-68471.62</v>
      </c>
      <c r="F72" s="78">
        <v>-1.2868999999999999</v>
      </c>
      <c r="G72" s="40">
        <v>498444.91</v>
      </c>
      <c r="H72" s="76">
        <v>-19394.41</v>
      </c>
      <c r="I72" s="78">
        <v>-0.49480000000000002</v>
      </c>
    </row>
    <row r="73" spans="1:9">
      <c r="A73" s="69" t="s">
        <v>40</v>
      </c>
      <c r="B73" s="70">
        <v>45717</v>
      </c>
      <c r="C73" s="38">
        <v>605023.87</v>
      </c>
      <c r="D73" s="38">
        <v>560330.54</v>
      </c>
      <c r="E73" s="38">
        <v>44693.33</v>
      </c>
      <c r="F73" s="73">
        <v>0.84</v>
      </c>
      <c r="G73" s="38">
        <v>577222.31999999995</v>
      </c>
      <c r="H73" s="38">
        <v>27801.55</v>
      </c>
      <c r="I73" s="73">
        <v>0.70930000000000004</v>
      </c>
    </row>
    <row r="74" spans="1:9">
      <c r="A74" s="74" t="s">
        <v>40</v>
      </c>
      <c r="B74" s="75">
        <v>45748</v>
      </c>
      <c r="C74" s="40">
        <v>674774.09</v>
      </c>
      <c r="D74" s="40">
        <v>642104.57999999996</v>
      </c>
      <c r="E74" s="40">
        <v>32669.51</v>
      </c>
      <c r="F74" s="78">
        <v>0.61399999999999999</v>
      </c>
      <c r="G74" s="40">
        <v>620773.01</v>
      </c>
      <c r="H74" s="40">
        <v>54001.08</v>
      </c>
      <c r="I74" s="78">
        <v>1.3776999999999999</v>
      </c>
    </row>
    <row r="75" spans="1:9">
      <c r="A75" s="69" t="s">
        <v>41</v>
      </c>
      <c r="B75" s="70">
        <v>45658</v>
      </c>
      <c r="C75" s="38">
        <v>616069.41</v>
      </c>
      <c r="D75" s="38">
        <v>657553.17000000004</v>
      </c>
      <c r="E75" s="71">
        <v>-41483.760000000002</v>
      </c>
      <c r="F75" s="73">
        <v>-0.77969999999999995</v>
      </c>
      <c r="G75" s="38">
        <v>574042.85</v>
      </c>
      <c r="H75" s="38">
        <v>42026.559999999998</v>
      </c>
      <c r="I75" s="73">
        <v>1.0722</v>
      </c>
    </row>
    <row r="76" spans="1:9">
      <c r="A76" s="74" t="s">
        <v>41</v>
      </c>
      <c r="B76" s="75">
        <v>45689</v>
      </c>
      <c r="C76" s="40">
        <v>630829.93999999994</v>
      </c>
      <c r="D76" s="40">
        <v>689770.43</v>
      </c>
      <c r="E76" s="76">
        <v>-58940.49</v>
      </c>
      <c r="F76" s="78">
        <v>-1.1077999999999999</v>
      </c>
      <c r="G76" s="40">
        <v>677497.24</v>
      </c>
      <c r="H76" s="76">
        <v>-46667.3</v>
      </c>
      <c r="I76" s="78">
        <v>-1.1906000000000001</v>
      </c>
    </row>
    <row r="77" spans="1:9">
      <c r="A77" s="69" t="s">
        <v>41</v>
      </c>
      <c r="B77" s="70">
        <v>45717</v>
      </c>
      <c r="C77" s="38">
        <v>788087.68</v>
      </c>
      <c r="D77" s="38">
        <v>689235.26</v>
      </c>
      <c r="E77" s="38">
        <v>98852.42</v>
      </c>
      <c r="F77" s="72">
        <v>1.8579000000000001</v>
      </c>
      <c r="G77" s="38">
        <v>728401.67</v>
      </c>
      <c r="H77" s="38">
        <v>59686.01</v>
      </c>
      <c r="I77" s="72">
        <v>1.5226999999999999</v>
      </c>
    </row>
    <row r="78" spans="1:9">
      <c r="A78" s="74" t="s">
        <v>41</v>
      </c>
      <c r="B78" s="75">
        <v>45748</v>
      </c>
      <c r="C78" s="40">
        <v>680840.36</v>
      </c>
      <c r="D78" s="40">
        <v>740825.7</v>
      </c>
      <c r="E78" s="76">
        <v>-59985.34</v>
      </c>
      <c r="F78" s="78">
        <v>-1.1274</v>
      </c>
      <c r="G78" s="40">
        <v>704713.32</v>
      </c>
      <c r="H78" s="76">
        <v>-23872.959999999999</v>
      </c>
      <c r="I78" s="78">
        <v>-0.60909999999999997</v>
      </c>
    </row>
    <row r="79" spans="1:9">
      <c r="A79" s="69" t="s">
        <v>42</v>
      </c>
      <c r="B79" s="70">
        <v>45658</v>
      </c>
      <c r="C79" s="38">
        <v>643657.47</v>
      </c>
      <c r="D79" s="38">
        <v>684097.63</v>
      </c>
      <c r="E79" s="71">
        <v>-40440.160000000003</v>
      </c>
      <c r="F79" s="73">
        <v>-0.7601</v>
      </c>
      <c r="G79" s="38">
        <v>649880.25</v>
      </c>
      <c r="H79" s="71">
        <v>-6222.78</v>
      </c>
      <c r="I79" s="73">
        <v>-0.1588</v>
      </c>
    </row>
    <row r="80" spans="1:9">
      <c r="A80" s="74" t="s">
        <v>42</v>
      </c>
      <c r="B80" s="75">
        <v>45689</v>
      </c>
      <c r="C80" s="40">
        <v>691112.6</v>
      </c>
      <c r="D80" s="40">
        <v>659123</v>
      </c>
      <c r="E80" s="40">
        <v>31989.599999999999</v>
      </c>
      <c r="F80" s="78">
        <v>0.60119999999999996</v>
      </c>
      <c r="G80" s="40">
        <v>640820.71</v>
      </c>
      <c r="H80" s="40">
        <v>50291.89</v>
      </c>
      <c r="I80" s="78">
        <v>1.2830999999999999</v>
      </c>
    </row>
    <row r="81" spans="1:9">
      <c r="A81" s="69" t="s">
        <v>42</v>
      </c>
      <c r="B81" s="70">
        <v>45717</v>
      </c>
      <c r="C81" s="38">
        <v>776922.17</v>
      </c>
      <c r="D81" s="38">
        <v>712925.48</v>
      </c>
      <c r="E81" s="38">
        <v>63996.69</v>
      </c>
      <c r="F81" s="73">
        <v>1.2028000000000001</v>
      </c>
      <c r="G81" s="38">
        <v>722822.49</v>
      </c>
      <c r="H81" s="38">
        <v>54099.68</v>
      </c>
      <c r="I81" s="73">
        <v>1.3802000000000001</v>
      </c>
    </row>
    <row r="82" spans="1:9">
      <c r="A82" s="74" t="s">
        <v>42</v>
      </c>
      <c r="B82" s="75">
        <v>45748</v>
      </c>
      <c r="C82" s="40">
        <v>636561.34</v>
      </c>
      <c r="D82" s="40">
        <v>659551.14</v>
      </c>
      <c r="E82" s="76">
        <v>-22989.8</v>
      </c>
      <c r="F82" s="78">
        <v>-0.43209999999999998</v>
      </c>
      <c r="G82" s="40">
        <v>660206.49</v>
      </c>
      <c r="H82" s="76">
        <v>-23645.15</v>
      </c>
      <c r="I82" s="78">
        <v>-0.60319999999999996</v>
      </c>
    </row>
    <row r="83" spans="1:9">
      <c r="A83" s="69" t="s">
        <v>43</v>
      </c>
      <c r="B83" s="70">
        <v>45658</v>
      </c>
      <c r="C83" s="38">
        <v>621369.57999999996</v>
      </c>
      <c r="D83" s="38">
        <v>639428.73</v>
      </c>
      <c r="E83" s="71">
        <v>-18059.150000000001</v>
      </c>
      <c r="F83" s="73">
        <v>-0.33939999999999998</v>
      </c>
      <c r="G83" s="38">
        <v>662873.42000000004</v>
      </c>
      <c r="H83" s="71">
        <v>-41503.839999999997</v>
      </c>
      <c r="I83" s="73">
        <v>-1.0589</v>
      </c>
    </row>
    <row r="84" spans="1:9">
      <c r="A84" s="74" t="s">
        <v>43</v>
      </c>
      <c r="B84" s="75">
        <v>45689</v>
      </c>
      <c r="C84" s="40">
        <v>682208.01</v>
      </c>
      <c r="D84" s="40">
        <v>605213.5</v>
      </c>
      <c r="E84" s="40">
        <v>76994.509999999995</v>
      </c>
      <c r="F84" s="78">
        <v>1.4471000000000001</v>
      </c>
      <c r="G84" s="40">
        <v>646831.16</v>
      </c>
      <c r="H84" s="40">
        <v>35376.85</v>
      </c>
      <c r="I84" s="78">
        <v>0.90259999999999996</v>
      </c>
    </row>
    <row r="85" spans="1:9">
      <c r="A85" s="69" t="s">
        <v>43</v>
      </c>
      <c r="B85" s="70">
        <v>45717</v>
      </c>
      <c r="C85" s="38">
        <v>727241.86</v>
      </c>
      <c r="D85" s="38">
        <v>612099.36</v>
      </c>
      <c r="E85" s="38">
        <v>115142.5</v>
      </c>
      <c r="F85" s="77">
        <v>2.1640999999999999</v>
      </c>
      <c r="G85" s="38">
        <v>678868.24</v>
      </c>
      <c r="H85" s="38">
        <v>48373.62</v>
      </c>
      <c r="I85" s="73">
        <v>1.2341</v>
      </c>
    </row>
    <row r="86" spans="1:9">
      <c r="A86" s="74" t="s">
        <v>43</v>
      </c>
      <c r="B86" s="75">
        <v>45748</v>
      </c>
      <c r="C86" s="40">
        <v>569100.78</v>
      </c>
      <c r="D86" s="40">
        <v>573388.69999999995</v>
      </c>
      <c r="E86" s="76">
        <v>-4287.92</v>
      </c>
      <c r="F86" s="78">
        <v>-8.0600000000000005E-2</v>
      </c>
      <c r="G86" s="40">
        <v>571638.17000000004</v>
      </c>
      <c r="H86" s="76">
        <v>-2537.39</v>
      </c>
      <c r="I86" s="78">
        <v>-6.4699999999999994E-2</v>
      </c>
    </row>
    <row r="87" spans="1:9">
      <c r="A87" s="69" t="s">
        <v>44</v>
      </c>
      <c r="B87" s="70">
        <v>45658</v>
      </c>
      <c r="C87" s="38">
        <v>574436.29</v>
      </c>
      <c r="D87" s="38">
        <v>556691.38</v>
      </c>
      <c r="E87" s="38">
        <v>17744.91</v>
      </c>
      <c r="F87" s="73">
        <v>0.33350000000000002</v>
      </c>
      <c r="G87" s="38">
        <v>556135.35</v>
      </c>
      <c r="H87" s="38">
        <v>18300.939999999999</v>
      </c>
      <c r="I87" s="73">
        <v>0.46689999999999998</v>
      </c>
    </row>
    <row r="88" spans="1:9">
      <c r="A88" s="74" t="s">
        <v>44</v>
      </c>
      <c r="B88" s="75">
        <v>45689</v>
      </c>
      <c r="C88" s="40">
        <v>611766.72</v>
      </c>
      <c r="D88" s="40">
        <v>589265.42000000004</v>
      </c>
      <c r="E88" s="40">
        <v>22501.3</v>
      </c>
      <c r="F88" s="78">
        <v>0.4229</v>
      </c>
      <c r="G88" s="40">
        <v>643435.54</v>
      </c>
      <c r="H88" s="76">
        <v>-31668.82</v>
      </c>
      <c r="I88" s="78">
        <v>-0.80800000000000005</v>
      </c>
    </row>
    <row r="89" spans="1:9">
      <c r="A89" s="69" t="s">
        <v>44</v>
      </c>
      <c r="B89" s="70">
        <v>45717</v>
      </c>
      <c r="C89" s="38">
        <v>614596.31999999995</v>
      </c>
      <c r="D89" s="38">
        <v>581558.96</v>
      </c>
      <c r="E89" s="38">
        <v>33037.360000000001</v>
      </c>
      <c r="F89" s="73">
        <v>0.62090000000000001</v>
      </c>
      <c r="G89" s="38">
        <v>592874.81000000006</v>
      </c>
      <c r="H89" s="38">
        <v>21721.51</v>
      </c>
      <c r="I89" s="73">
        <v>0.55420000000000003</v>
      </c>
    </row>
    <row r="90" spans="1:9">
      <c r="A90" s="74" t="s">
        <v>44</v>
      </c>
      <c r="B90" s="75">
        <v>45748</v>
      </c>
      <c r="C90" s="40">
        <v>450711.92</v>
      </c>
      <c r="D90" s="40">
        <v>491364.9</v>
      </c>
      <c r="E90" s="76">
        <v>-40652.980000000003</v>
      </c>
      <c r="F90" s="78">
        <v>-0.7641</v>
      </c>
      <c r="G90" s="40">
        <v>477368.53</v>
      </c>
      <c r="H90" s="76">
        <v>-26656.61</v>
      </c>
      <c r="I90" s="78">
        <v>-0.68010000000000004</v>
      </c>
    </row>
    <row r="91" spans="1:9">
      <c r="A91" s="69" t="s">
        <v>45</v>
      </c>
      <c r="B91" s="70">
        <v>45658</v>
      </c>
      <c r="C91" s="38">
        <v>711213.46</v>
      </c>
      <c r="D91" s="38">
        <v>697013.07</v>
      </c>
      <c r="E91" s="38">
        <v>14200.39</v>
      </c>
      <c r="F91" s="73">
        <v>0.26690000000000003</v>
      </c>
      <c r="G91" s="38">
        <v>696871.19</v>
      </c>
      <c r="H91" s="38">
        <v>14342.27</v>
      </c>
      <c r="I91" s="73">
        <v>0.3659</v>
      </c>
    </row>
    <row r="92" spans="1:9">
      <c r="A92" s="74" t="s">
        <v>45</v>
      </c>
      <c r="B92" s="75">
        <v>45689</v>
      </c>
      <c r="C92" s="40">
        <v>627171.9</v>
      </c>
      <c r="D92" s="40">
        <v>639071.94999999995</v>
      </c>
      <c r="E92" s="76">
        <v>-11900.05</v>
      </c>
      <c r="F92" s="78">
        <v>-0.22370000000000001</v>
      </c>
      <c r="G92" s="40">
        <v>763884.72</v>
      </c>
      <c r="H92" s="76">
        <v>-136712.82</v>
      </c>
      <c r="I92" s="77">
        <v>-3.4878999999999998</v>
      </c>
    </row>
    <row r="93" spans="1:9">
      <c r="A93" s="69" t="s">
        <v>45</v>
      </c>
      <c r="B93" s="70">
        <v>45717</v>
      </c>
      <c r="C93" s="38">
        <v>739852.58</v>
      </c>
      <c r="D93" s="38">
        <v>660050.63</v>
      </c>
      <c r="E93" s="38">
        <v>79801.95</v>
      </c>
      <c r="F93" s="73">
        <v>1.4998</v>
      </c>
      <c r="G93" s="38">
        <v>736560.29</v>
      </c>
      <c r="H93" s="38">
        <v>3292.29</v>
      </c>
      <c r="I93" s="73">
        <v>8.4000000000000005E-2</v>
      </c>
    </row>
    <row r="94" spans="1:9">
      <c r="A94" s="74" t="s">
        <v>45</v>
      </c>
      <c r="B94" s="75">
        <v>45748</v>
      </c>
      <c r="C94" s="40">
        <v>586307.22</v>
      </c>
      <c r="D94" s="40">
        <v>578454.98</v>
      </c>
      <c r="E94" s="40">
        <v>7852.24</v>
      </c>
      <c r="F94" s="78">
        <v>0.14760000000000001</v>
      </c>
      <c r="G94" s="40">
        <v>583247.07999999996</v>
      </c>
      <c r="H94" s="40">
        <v>3060.14</v>
      </c>
      <c r="I94" s="78">
        <v>7.8100000000000003E-2</v>
      </c>
    </row>
    <row r="95" spans="1:9">
      <c r="A95" s="69" t="s">
        <v>46</v>
      </c>
      <c r="B95" s="70">
        <v>45658</v>
      </c>
      <c r="C95" s="38">
        <v>585937.48</v>
      </c>
      <c r="D95" s="38">
        <v>607282.82999999996</v>
      </c>
      <c r="E95" s="71">
        <v>-21345.35</v>
      </c>
      <c r="F95" s="73">
        <v>-0.4012</v>
      </c>
      <c r="G95" s="38">
        <v>604773.85</v>
      </c>
      <c r="H95" s="71">
        <v>-18836.37</v>
      </c>
      <c r="I95" s="73">
        <v>-0.48060000000000003</v>
      </c>
    </row>
    <row r="96" spans="1:9">
      <c r="A96" s="74" t="s">
        <v>46</v>
      </c>
      <c r="B96" s="75">
        <v>45689</v>
      </c>
      <c r="C96" s="40">
        <v>753473.55</v>
      </c>
      <c r="D96" s="40">
        <v>677497.19</v>
      </c>
      <c r="E96" s="40">
        <v>75976.36</v>
      </c>
      <c r="F96" s="78">
        <v>1.4278999999999999</v>
      </c>
      <c r="G96" s="40">
        <v>710571.86</v>
      </c>
      <c r="H96" s="40">
        <v>42901.69</v>
      </c>
      <c r="I96" s="78">
        <v>1.0945</v>
      </c>
    </row>
    <row r="97" spans="1:9">
      <c r="A97" s="69" t="s">
        <v>46</v>
      </c>
      <c r="B97" s="70">
        <v>45717</v>
      </c>
      <c r="C97" s="38">
        <v>838250.32</v>
      </c>
      <c r="D97" s="38">
        <v>730764.49</v>
      </c>
      <c r="E97" s="38">
        <v>107485.83</v>
      </c>
      <c r="F97" s="77">
        <v>2.0202</v>
      </c>
      <c r="G97" s="38">
        <v>785118.68</v>
      </c>
      <c r="H97" s="38">
        <v>53131.64</v>
      </c>
      <c r="I97" s="73">
        <v>1.3554999999999999</v>
      </c>
    </row>
    <row r="98" spans="1:9">
      <c r="A98" s="74" t="s">
        <v>46</v>
      </c>
      <c r="B98" s="75">
        <v>45748</v>
      </c>
      <c r="C98" s="40">
        <v>607898.12</v>
      </c>
      <c r="D98" s="40">
        <v>662512.42000000004</v>
      </c>
      <c r="E98" s="76">
        <v>-54614.3</v>
      </c>
      <c r="F98" s="78">
        <v>-1.0265</v>
      </c>
      <c r="G98" s="40">
        <v>618005.04</v>
      </c>
      <c r="H98" s="76">
        <v>-10106.92</v>
      </c>
      <c r="I98" s="78">
        <v>-0.25790000000000002</v>
      </c>
    </row>
    <row r="99" spans="1:9">
      <c r="A99" s="69" t="s">
        <v>47</v>
      </c>
      <c r="B99" s="70">
        <v>45658</v>
      </c>
      <c r="C99" s="38">
        <v>691113.62</v>
      </c>
      <c r="D99" s="38">
        <v>674535.91</v>
      </c>
      <c r="E99" s="38">
        <v>16577.71</v>
      </c>
      <c r="F99" s="73">
        <v>0.31159999999999999</v>
      </c>
      <c r="G99" s="38">
        <v>674652.5</v>
      </c>
      <c r="H99" s="38">
        <v>16461.12</v>
      </c>
      <c r="I99" s="73">
        <v>0.42</v>
      </c>
    </row>
    <row r="100" spans="1:9">
      <c r="A100" s="74" t="s">
        <v>47</v>
      </c>
      <c r="B100" s="75">
        <v>45689</v>
      </c>
      <c r="C100" s="40">
        <v>735509.4</v>
      </c>
      <c r="D100" s="40">
        <v>630152.43999999994</v>
      </c>
      <c r="E100" s="40">
        <v>105356.96</v>
      </c>
      <c r="F100" s="72">
        <v>1.9801</v>
      </c>
      <c r="G100" s="40">
        <v>664897.28000000003</v>
      </c>
      <c r="H100" s="40">
        <v>70612.12</v>
      </c>
      <c r="I100" s="72">
        <v>1.8015000000000001</v>
      </c>
    </row>
    <row r="101" spans="1:9">
      <c r="A101" s="69" t="s">
        <v>47</v>
      </c>
      <c r="B101" s="70">
        <v>45717</v>
      </c>
      <c r="C101" s="38">
        <v>605775.32999999996</v>
      </c>
      <c r="D101" s="38">
        <v>614525.47</v>
      </c>
      <c r="E101" s="71">
        <v>-8750.14</v>
      </c>
      <c r="F101" s="73">
        <v>-0.16450000000000001</v>
      </c>
      <c r="G101" s="38">
        <v>641827.28</v>
      </c>
      <c r="H101" s="71">
        <v>-36051.949999999997</v>
      </c>
      <c r="I101" s="73">
        <v>-0.91979999999999995</v>
      </c>
    </row>
    <row r="102" spans="1:9">
      <c r="A102" s="74" t="s">
        <v>47</v>
      </c>
      <c r="B102" s="75">
        <v>45748</v>
      </c>
      <c r="C102" s="40">
        <v>675177.68</v>
      </c>
      <c r="D102" s="40">
        <v>634826.27</v>
      </c>
      <c r="E102" s="40">
        <v>40351.410000000003</v>
      </c>
      <c r="F102" s="78">
        <v>0.75839999999999996</v>
      </c>
      <c r="G102" s="40">
        <v>665899.57999999996</v>
      </c>
      <c r="H102" s="40">
        <v>9278.1</v>
      </c>
      <c r="I102" s="78">
        <v>0.23669999999999999</v>
      </c>
    </row>
    <row r="103" spans="1:9">
      <c r="A103" s="69" t="s">
        <v>48</v>
      </c>
      <c r="B103" s="70">
        <v>45658</v>
      </c>
      <c r="C103" s="38">
        <v>635181.35</v>
      </c>
      <c r="D103" s="38">
        <v>576349.97</v>
      </c>
      <c r="E103" s="38">
        <v>58831.38</v>
      </c>
      <c r="F103" s="73">
        <v>1.1056999999999999</v>
      </c>
      <c r="G103" s="38">
        <v>608318.18000000005</v>
      </c>
      <c r="H103" s="38">
        <v>26863.17</v>
      </c>
      <c r="I103" s="73">
        <v>0.68530000000000002</v>
      </c>
    </row>
    <row r="104" spans="1:9">
      <c r="A104" s="74" t="s">
        <v>48</v>
      </c>
      <c r="B104" s="75">
        <v>45689</v>
      </c>
      <c r="C104" s="40">
        <v>586626.93999999994</v>
      </c>
      <c r="D104" s="40">
        <v>602430.61</v>
      </c>
      <c r="E104" s="76">
        <v>-15803.67</v>
      </c>
      <c r="F104" s="78">
        <v>-0.29699999999999999</v>
      </c>
      <c r="G104" s="40">
        <v>620743.18999999994</v>
      </c>
      <c r="H104" s="76">
        <v>-34116.25</v>
      </c>
      <c r="I104" s="78">
        <v>-0.87039999999999995</v>
      </c>
    </row>
    <row r="105" spans="1:9">
      <c r="A105" s="69" t="s">
        <v>48</v>
      </c>
      <c r="B105" s="70">
        <v>45717</v>
      </c>
      <c r="C105" s="38">
        <v>740102.64</v>
      </c>
      <c r="D105" s="38">
        <v>690162.89</v>
      </c>
      <c r="E105" s="38">
        <v>49939.75</v>
      </c>
      <c r="F105" s="73">
        <v>0.93859999999999999</v>
      </c>
      <c r="G105" s="38">
        <v>725693.45</v>
      </c>
      <c r="H105" s="38">
        <v>14409.19</v>
      </c>
      <c r="I105" s="73">
        <v>0.36759999999999998</v>
      </c>
    </row>
    <row r="106" spans="1:9">
      <c r="A106" s="74" t="s">
        <v>48</v>
      </c>
      <c r="B106" s="75">
        <v>45748</v>
      </c>
      <c r="C106" s="40">
        <v>625514.04</v>
      </c>
      <c r="D106" s="40">
        <v>532537.35</v>
      </c>
      <c r="E106" s="40">
        <v>92976.69</v>
      </c>
      <c r="F106" s="72">
        <v>1.7475000000000001</v>
      </c>
      <c r="G106" s="40">
        <v>540037.71</v>
      </c>
      <c r="H106" s="40">
        <v>85476.33</v>
      </c>
      <c r="I106" s="77">
        <v>2.1806999999999999</v>
      </c>
    </row>
    <row r="107" spans="1:9">
      <c r="A107" s="69" t="s">
        <v>49</v>
      </c>
      <c r="B107" s="70">
        <v>45658</v>
      </c>
      <c r="C107" s="38">
        <v>727227.2</v>
      </c>
      <c r="D107" s="38">
        <v>709500.38</v>
      </c>
      <c r="E107" s="38">
        <v>17726.82</v>
      </c>
      <c r="F107" s="73">
        <v>0.3332</v>
      </c>
      <c r="G107" s="38">
        <v>706836.69</v>
      </c>
      <c r="H107" s="38">
        <v>20390.509999999998</v>
      </c>
      <c r="I107" s="73">
        <v>0.5202</v>
      </c>
    </row>
    <row r="108" spans="1:9">
      <c r="A108" s="74" t="s">
        <v>49</v>
      </c>
      <c r="B108" s="75">
        <v>45689</v>
      </c>
      <c r="C108" s="40">
        <v>783797.89</v>
      </c>
      <c r="D108" s="40">
        <v>758200.9</v>
      </c>
      <c r="E108" s="40">
        <v>25596.99</v>
      </c>
      <c r="F108" s="78">
        <v>0.48110000000000003</v>
      </c>
      <c r="G108" s="40">
        <v>796807.12</v>
      </c>
      <c r="H108" s="76">
        <v>-13009.23</v>
      </c>
      <c r="I108" s="78">
        <v>-0.33189999999999997</v>
      </c>
    </row>
    <row r="109" spans="1:9">
      <c r="A109" s="69" t="s">
        <v>49</v>
      </c>
      <c r="B109" s="70">
        <v>45717</v>
      </c>
      <c r="C109" s="38">
        <v>795153.84</v>
      </c>
      <c r="D109" s="38">
        <v>695871.38</v>
      </c>
      <c r="E109" s="38">
        <v>99282.46</v>
      </c>
      <c r="F109" s="72">
        <v>1.8660000000000001</v>
      </c>
      <c r="G109" s="38">
        <v>724656.33</v>
      </c>
      <c r="H109" s="38">
        <v>70497.509999999995</v>
      </c>
      <c r="I109" s="72">
        <v>1.7986</v>
      </c>
    </row>
    <row r="110" spans="1:9">
      <c r="A110" s="74" t="s">
        <v>49</v>
      </c>
      <c r="B110" s="75">
        <v>45748</v>
      </c>
      <c r="C110" s="40">
        <v>665594.93999999994</v>
      </c>
      <c r="D110" s="40">
        <v>699974.35</v>
      </c>
      <c r="E110" s="76">
        <v>-34379.410000000003</v>
      </c>
      <c r="F110" s="78">
        <v>-0.64610000000000001</v>
      </c>
      <c r="G110" s="40">
        <v>630195.92000000004</v>
      </c>
      <c r="H110" s="40">
        <v>35399.019999999997</v>
      </c>
      <c r="I110" s="78">
        <v>0.90310000000000001</v>
      </c>
    </row>
    <row r="111" spans="1:9">
      <c r="A111" s="69" t="s">
        <v>50</v>
      </c>
      <c r="B111" s="70">
        <v>45658</v>
      </c>
      <c r="C111" s="38">
        <v>709478.39</v>
      </c>
      <c r="D111" s="38">
        <v>695264.85</v>
      </c>
      <c r="E111" s="38">
        <v>14213.54</v>
      </c>
      <c r="F111" s="73">
        <v>0.2671</v>
      </c>
      <c r="G111" s="38">
        <v>686797.05</v>
      </c>
      <c r="H111" s="38">
        <v>22681.34</v>
      </c>
      <c r="I111" s="73">
        <v>0.57869999999999999</v>
      </c>
    </row>
    <row r="112" spans="1:9">
      <c r="A112" s="74" t="s">
        <v>50</v>
      </c>
      <c r="B112" s="75">
        <v>45689</v>
      </c>
      <c r="C112" s="40">
        <v>664162.49</v>
      </c>
      <c r="D112" s="40">
        <v>642390.01</v>
      </c>
      <c r="E112" s="40">
        <v>21772.48</v>
      </c>
      <c r="F112" s="78">
        <v>0.40920000000000001</v>
      </c>
      <c r="G112" s="40">
        <v>631574.81999999995</v>
      </c>
      <c r="H112" s="40">
        <v>32587.67</v>
      </c>
      <c r="I112" s="78">
        <v>0.83140000000000003</v>
      </c>
    </row>
    <row r="113" spans="1:9">
      <c r="A113" s="69" t="s">
        <v>50</v>
      </c>
      <c r="B113" s="70">
        <v>45717</v>
      </c>
      <c r="C113" s="38">
        <v>633494.21</v>
      </c>
      <c r="D113" s="38">
        <v>649275.87</v>
      </c>
      <c r="E113" s="71">
        <v>-15781.66</v>
      </c>
      <c r="F113" s="73">
        <v>-0.29659999999999997</v>
      </c>
      <c r="G113" s="38">
        <v>656965.93999999994</v>
      </c>
      <c r="H113" s="71">
        <v>-23471.73</v>
      </c>
      <c r="I113" s="73">
        <v>-0.5988</v>
      </c>
    </row>
    <row r="114" spans="1:9">
      <c r="A114" s="74" t="s">
        <v>50</v>
      </c>
      <c r="B114" s="75">
        <v>45748</v>
      </c>
      <c r="C114" s="40">
        <v>713611.16</v>
      </c>
      <c r="D114" s="40">
        <v>591370.42000000004</v>
      </c>
      <c r="E114" s="40">
        <v>122240.74</v>
      </c>
      <c r="F114" s="77">
        <v>2.2974999999999999</v>
      </c>
      <c r="G114" s="40">
        <v>610597.25</v>
      </c>
      <c r="H114" s="40">
        <v>103013.91</v>
      </c>
      <c r="I114" s="77">
        <v>2.6282000000000001</v>
      </c>
    </row>
    <row r="115" spans="1:9">
      <c r="A115" s="69" t="s">
        <v>51</v>
      </c>
      <c r="B115" s="70">
        <v>45658</v>
      </c>
      <c r="C115" s="38">
        <v>778397.97</v>
      </c>
      <c r="D115" s="38">
        <v>766299.81</v>
      </c>
      <c r="E115" s="38">
        <v>12098.16</v>
      </c>
      <c r="F115" s="73">
        <v>0.22739999999999999</v>
      </c>
      <c r="G115" s="38">
        <v>758483.68</v>
      </c>
      <c r="H115" s="38">
        <v>19914.29</v>
      </c>
      <c r="I115" s="73">
        <v>0.5081</v>
      </c>
    </row>
    <row r="116" spans="1:9">
      <c r="A116" s="74" t="s">
        <v>51</v>
      </c>
      <c r="B116" s="75">
        <v>45689</v>
      </c>
      <c r="C116" s="40">
        <v>873380.02</v>
      </c>
      <c r="D116" s="40">
        <v>784959.42</v>
      </c>
      <c r="E116" s="40">
        <v>88420.6</v>
      </c>
      <c r="F116" s="72">
        <v>1.6617999999999999</v>
      </c>
      <c r="G116" s="40">
        <v>850907.5</v>
      </c>
      <c r="H116" s="40">
        <v>22472.52</v>
      </c>
      <c r="I116" s="78">
        <v>0.57330000000000003</v>
      </c>
    </row>
    <row r="117" spans="1:9">
      <c r="A117" s="69" t="s">
        <v>51</v>
      </c>
      <c r="B117" s="70">
        <v>45717</v>
      </c>
      <c r="C117" s="38">
        <v>697287.9</v>
      </c>
      <c r="D117" s="38">
        <v>775540.42</v>
      </c>
      <c r="E117" s="71">
        <v>-78252.52</v>
      </c>
      <c r="F117" s="73">
        <v>-1.4706999999999999</v>
      </c>
      <c r="G117" s="38">
        <v>752320.38</v>
      </c>
      <c r="H117" s="71">
        <v>-55032.480000000003</v>
      </c>
      <c r="I117" s="73">
        <v>-1.4039999999999999</v>
      </c>
    </row>
    <row r="118" spans="1:9">
      <c r="A118" s="74" t="s">
        <v>51</v>
      </c>
      <c r="B118" s="75">
        <v>45748</v>
      </c>
      <c r="C118" s="40">
        <v>718074.79</v>
      </c>
      <c r="D118" s="40">
        <v>776396.69</v>
      </c>
      <c r="E118" s="76">
        <v>-58321.9</v>
      </c>
      <c r="F118" s="78">
        <v>-1.0961000000000001</v>
      </c>
      <c r="G118" s="40">
        <v>761729.35</v>
      </c>
      <c r="H118" s="76">
        <v>-43654.559999999998</v>
      </c>
      <c r="I118" s="78">
        <v>-1.1136999999999999</v>
      </c>
    </row>
    <row r="119" spans="1:9">
      <c r="A119" s="69" t="s">
        <v>52</v>
      </c>
      <c r="B119" s="70">
        <v>45658</v>
      </c>
      <c r="C119" s="38">
        <v>714942.43</v>
      </c>
      <c r="D119" s="38">
        <v>725448.46</v>
      </c>
      <c r="E119" s="71">
        <v>-10506.03</v>
      </c>
      <c r="F119" s="73">
        <v>-0.19750000000000001</v>
      </c>
      <c r="G119" s="38">
        <v>729296.43</v>
      </c>
      <c r="H119" s="71">
        <v>-14354</v>
      </c>
      <c r="I119" s="73">
        <v>-0.36620000000000003</v>
      </c>
    </row>
    <row r="120" spans="1:9">
      <c r="A120" s="74" t="s">
        <v>52</v>
      </c>
      <c r="B120" s="75">
        <v>45689</v>
      </c>
      <c r="C120" s="40">
        <v>820519.04</v>
      </c>
      <c r="D120" s="40">
        <v>747319.1</v>
      </c>
      <c r="E120" s="40">
        <v>73199.94</v>
      </c>
      <c r="F120" s="78">
        <v>1.3757999999999999</v>
      </c>
      <c r="G120" s="40">
        <v>738090.48</v>
      </c>
      <c r="H120" s="40">
        <v>82428.56</v>
      </c>
      <c r="I120" s="77">
        <v>2.1030000000000002</v>
      </c>
    </row>
    <row r="121" spans="1:9">
      <c r="A121" s="69" t="s">
        <v>52</v>
      </c>
      <c r="B121" s="70">
        <v>45717</v>
      </c>
      <c r="C121" s="38">
        <v>684217.32</v>
      </c>
      <c r="D121" s="38">
        <v>750101.98</v>
      </c>
      <c r="E121" s="71">
        <v>-65884.66</v>
      </c>
      <c r="F121" s="73">
        <v>-1.2383</v>
      </c>
      <c r="G121" s="38">
        <v>710962.38</v>
      </c>
      <c r="H121" s="71">
        <v>-26745.06</v>
      </c>
      <c r="I121" s="73">
        <v>-0.68230000000000002</v>
      </c>
    </row>
    <row r="122" spans="1:9">
      <c r="A122" s="74" t="s">
        <v>52</v>
      </c>
      <c r="B122" s="75">
        <v>45748</v>
      </c>
      <c r="C122" s="40">
        <v>735480.19</v>
      </c>
      <c r="D122" s="40">
        <v>725270.07</v>
      </c>
      <c r="E122" s="40">
        <v>10210.120000000001</v>
      </c>
      <c r="F122" s="78">
        <v>0.19189999999999999</v>
      </c>
      <c r="G122" s="40">
        <v>728855.48</v>
      </c>
      <c r="H122" s="40">
        <v>6624.71</v>
      </c>
      <c r="I122" s="78">
        <v>0.16900000000000001</v>
      </c>
    </row>
    <row r="123" spans="1:9">
      <c r="A123" s="69" t="s">
        <v>53</v>
      </c>
      <c r="B123" s="70">
        <v>45658</v>
      </c>
      <c r="C123" s="38">
        <v>509484.81</v>
      </c>
      <c r="D123" s="38">
        <v>583878.04</v>
      </c>
      <c r="E123" s="71">
        <v>-74393.23</v>
      </c>
      <c r="F123" s="73">
        <v>-1.3982000000000001</v>
      </c>
      <c r="G123" s="38">
        <v>557950.15</v>
      </c>
      <c r="H123" s="71">
        <v>-48465.34</v>
      </c>
      <c r="I123" s="73">
        <v>-1.2364999999999999</v>
      </c>
    </row>
    <row r="124" spans="1:9">
      <c r="A124" s="74" t="s">
        <v>53</v>
      </c>
      <c r="B124" s="75">
        <v>45689</v>
      </c>
      <c r="C124" s="40">
        <v>654317.09</v>
      </c>
      <c r="D124" s="40">
        <v>578205.23</v>
      </c>
      <c r="E124" s="40">
        <v>76111.86</v>
      </c>
      <c r="F124" s="78">
        <v>1.4305000000000001</v>
      </c>
      <c r="G124" s="40">
        <v>634890.80000000005</v>
      </c>
      <c r="H124" s="40">
        <v>19426.29</v>
      </c>
      <c r="I124" s="78">
        <v>0.49559999999999998</v>
      </c>
    </row>
    <row r="125" spans="1:9">
      <c r="A125" s="69" t="s">
        <v>53</v>
      </c>
      <c r="B125" s="70">
        <v>45717</v>
      </c>
      <c r="C125" s="38">
        <v>557487.26</v>
      </c>
      <c r="D125" s="38">
        <v>604214.51</v>
      </c>
      <c r="E125" s="71">
        <v>-46727.25</v>
      </c>
      <c r="F125" s="73">
        <v>-0.87819999999999998</v>
      </c>
      <c r="G125" s="38">
        <v>605803.71</v>
      </c>
      <c r="H125" s="71">
        <v>-48316.45</v>
      </c>
      <c r="I125" s="73">
        <v>-1.2326999999999999</v>
      </c>
    </row>
    <row r="126" spans="1:9">
      <c r="A126" s="74" t="s">
        <v>53</v>
      </c>
      <c r="B126" s="75">
        <v>45748</v>
      </c>
      <c r="C126" s="40">
        <v>441275.42</v>
      </c>
      <c r="D126" s="40">
        <v>514412.91</v>
      </c>
      <c r="E126" s="76">
        <v>-73137.490000000005</v>
      </c>
      <c r="F126" s="78">
        <v>-1.3746</v>
      </c>
      <c r="G126" s="40">
        <v>473284.92</v>
      </c>
      <c r="H126" s="76">
        <v>-32009.5</v>
      </c>
      <c r="I126" s="78">
        <v>-0.81659999999999999</v>
      </c>
    </row>
    <row r="127" spans="1:9">
      <c r="A127" s="69" t="s">
        <v>54</v>
      </c>
      <c r="B127" s="70">
        <v>45658</v>
      </c>
      <c r="C127" s="38">
        <v>914544.17</v>
      </c>
      <c r="D127" s="38">
        <v>817319.39</v>
      </c>
      <c r="E127" s="38">
        <v>97224.78</v>
      </c>
      <c r="F127" s="72">
        <v>1.8272999999999999</v>
      </c>
      <c r="G127" s="38">
        <v>861029.73</v>
      </c>
      <c r="H127" s="38">
        <v>53514.44</v>
      </c>
      <c r="I127" s="73">
        <v>1.3653</v>
      </c>
    </row>
    <row r="128" spans="1:9">
      <c r="A128" s="74" t="s">
        <v>54</v>
      </c>
      <c r="B128" s="75">
        <v>45689</v>
      </c>
      <c r="C128" s="40">
        <v>842439.67</v>
      </c>
      <c r="D128" s="40">
        <v>841580.46</v>
      </c>
      <c r="E128" s="40">
        <v>859.21</v>
      </c>
      <c r="F128" s="78">
        <v>1.61E-2</v>
      </c>
      <c r="G128" s="40">
        <v>881422.72</v>
      </c>
      <c r="H128" s="76">
        <v>-38983.050000000003</v>
      </c>
      <c r="I128" s="78">
        <v>-0.99460000000000004</v>
      </c>
    </row>
    <row r="129" spans="1:9">
      <c r="A129" s="69" t="s">
        <v>54</v>
      </c>
      <c r="B129" s="70">
        <v>45717</v>
      </c>
      <c r="C129" s="38">
        <v>842157.92</v>
      </c>
      <c r="D129" s="38">
        <v>787992.05</v>
      </c>
      <c r="E129" s="38">
        <v>54165.87</v>
      </c>
      <c r="F129" s="73">
        <v>1.018</v>
      </c>
      <c r="G129" s="38">
        <v>802701.12</v>
      </c>
      <c r="H129" s="38">
        <v>39456.800000000003</v>
      </c>
      <c r="I129" s="73">
        <v>1.0065999999999999</v>
      </c>
    </row>
    <row r="130" spans="1:9">
      <c r="A130" s="74" t="s">
        <v>54</v>
      </c>
      <c r="B130" s="75">
        <v>45748</v>
      </c>
      <c r="C130" s="40">
        <v>697155.3</v>
      </c>
      <c r="D130" s="40">
        <v>739719.68000000005</v>
      </c>
      <c r="E130" s="76">
        <v>-42564.38</v>
      </c>
      <c r="F130" s="78">
        <v>-0.8</v>
      </c>
      <c r="G130" s="40">
        <v>714605.04</v>
      </c>
      <c r="H130" s="76">
        <v>-17449.740000000002</v>
      </c>
      <c r="I130" s="78">
        <v>-0.44519999999999998</v>
      </c>
    </row>
    <row r="131" spans="1:9">
      <c r="A131" s="69" t="s">
        <v>55</v>
      </c>
      <c r="B131" s="70">
        <v>45658</v>
      </c>
      <c r="C131" s="38">
        <v>849018.3</v>
      </c>
      <c r="D131" s="38">
        <v>825239.92</v>
      </c>
      <c r="E131" s="38">
        <v>23778.38</v>
      </c>
      <c r="F131" s="73">
        <v>0.44690000000000002</v>
      </c>
      <c r="G131" s="38">
        <v>857897.26</v>
      </c>
      <c r="H131" s="71">
        <v>-8878.9599999999991</v>
      </c>
      <c r="I131" s="73">
        <v>-0.22650000000000001</v>
      </c>
    </row>
    <row r="132" spans="1:9">
      <c r="A132" s="74" t="s">
        <v>55</v>
      </c>
      <c r="B132" s="75">
        <v>45689</v>
      </c>
      <c r="C132" s="40">
        <v>801830.35</v>
      </c>
      <c r="D132" s="40">
        <v>824455</v>
      </c>
      <c r="E132" s="76">
        <v>-22624.65</v>
      </c>
      <c r="F132" s="78">
        <v>-0.42520000000000002</v>
      </c>
      <c r="G132" s="40">
        <v>811384.37</v>
      </c>
      <c r="H132" s="76">
        <v>-9554.02</v>
      </c>
      <c r="I132" s="78">
        <v>-0.2437</v>
      </c>
    </row>
    <row r="133" spans="1:9">
      <c r="A133" s="69" t="s">
        <v>55</v>
      </c>
      <c r="B133" s="70">
        <v>45717</v>
      </c>
      <c r="C133" s="38">
        <v>725235.28</v>
      </c>
      <c r="D133" s="38">
        <v>789597.56</v>
      </c>
      <c r="E133" s="71">
        <v>-64362.28</v>
      </c>
      <c r="F133" s="73">
        <v>-1.2097</v>
      </c>
      <c r="G133" s="38">
        <v>787883.69</v>
      </c>
      <c r="H133" s="71">
        <v>-62648.41</v>
      </c>
      <c r="I133" s="72">
        <v>-1.5983000000000001</v>
      </c>
    </row>
    <row r="134" spans="1:9">
      <c r="A134" s="74" t="s">
        <v>55</v>
      </c>
      <c r="B134" s="75">
        <v>45748</v>
      </c>
      <c r="C134" s="40">
        <v>811452.72</v>
      </c>
      <c r="D134" s="40">
        <v>833017.73</v>
      </c>
      <c r="E134" s="76">
        <v>-21565.01</v>
      </c>
      <c r="F134" s="78">
        <v>-0.40529999999999999</v>
      </c>
      <c r="G134" s="40">
        <v>805357.18</v>
      </c>
      <c r="H134" s="40">
        <v>6095.54</v>
      </c>
      <c r="I134" s="78">
        <v>0.1555</v>
      </c>
    </row>
    <row r="135" spans="1:9">
      <c r="A135" s="69" t="s">
        <v>56</v>
      </c>
      <c r="B135" s="70">
        <v>45658</v>
      </c>
      <c r="C135" s="38">
        <v>527300.13</v>
      </c>
      <c r="D135" s="38">
        <v>554978.82999999996</v>
      </c>
      <c r="E135" s="71">
        <v>-27678.7</v>
      </c>
      <c r="F135" s="73">
        <v>-0.5202</v>
      </c>
      <c r="G135" s="38">
        <v>579473.62</v>
      </c>
      <c r="H135" s="71">
        <v>-52173.49</v>
      </c>
      <c r="I135" s="73">
        <v>-1.3310999999999999</v>
      </c>
    </row>
    <row r="136" spans="1:9">
      <c r="A136" s="74" t="s">
        <v>56</v>
      </c>
      <c r="B136" s="75">
        <v>45689</v>
      </c>
      <c r="C136" s="40">
        <v>400831.65</v>
      </c>
      <c r="D136" s="40">
        <v>511130.53</v>
      </c>
      <c r="E136" s="76">
        <v>-110298.88</v>
      </c>
      <c r="F136" s="77">
        <v>-2.073</v>
      </c>
      <c r="G136" s="40">
        <v>462537.15</v>
      </c>
      <c r="H136" s="76">
        <v>-61705.5</v>
      </c>
      <c r="I136" s="72">
        <v>-1.5743</v>
      </c>
    </row>
    <row r="137" spans="1:9">
      <c r="A137" s="69" t="s">
        <v>56</v>
      </c>
      <c r="B137" s="70">
        <v>45717</v>
      </c>
      <c r="C137" s="38">
        <v>593247.25</v>
      </c>
      <c r="D137" s="38">
        <v>575493.69999999995</v>
      </c>
      <c r="E137" s="38">
        <v>17753.55</v>
      </c>
      <c r="F137" s="73">
        <v>0.3337</v>
      </c>
      <c r="G137" s="38">
        <v>614126.49</v>
      </c>
      <c r="H137" s="71">
        <v>-20879.240000000002</v>
      </c>
      <c r="I137" s="73">
        <v>-0.53269999999999995</v>
      </c>
    </row>
    <row r="138" spans="1:9">
      <c r="A138" s="74" t="s">
        <v>56</v>
      </c>
      <c r="B138" s="75">
        <v>45748</v>
      </c>
      <c r="C138" s="40">
        <v>529075.94999999995</v>
      </c>
      <c r="D138" s="40">
        <v>516446.56</v>
      </c>
      <c r="E138" s="40">
        <v>12629.39</v>
      </c>
      <c r="F138" s="78">
        <v>0.2374</v>
      </c>
      <c r="G138" s="40">
        <v>552560.78</v>
      </c>
      <c r="H138" s="76">
        <v>-23484.83</v>
      </c>
      <c r="I138" s="78">
        <v>-0.59919999999999995</v>
      </c>
    </row>
    <row r="139" spans="1:9">
      <c r="A139" s="69" t="s">
        <v>57</v>
      </c>
      <c r="B139" s="70">
        <v>45658</v>
      </c>
      <c r="C139" s="38">
        <v>633638.03</v>
      </c>
      <c r="D139" s="38">
        <v>727838.89</v>
      </c>
      <c r="E139" s="71">
        <v>-94200.86</v>
      </c>
      <c r="F139" s="72">
        <v>-1.7705</v>
      </c>
      <c r="G139" s="38">
        <v>710259.72</v>
      </c>
      <c r="H139" s="71">
        <v>-76621.69</v>
      </c>
      <c r="I139" s="72">
        <v>-1.9548000000000001</v>
      </c>
    </row>
    <row r="140" spans="1:9">
      <c r="A140" s="74" t="s">
        <v>57</v>
      </c>
      <c r="B140" s="75">
        <v>45689</v>
      </c>
      <c r="C140" s="40">
        <v>743348.84</v>
      </c>
      <c r="D140" s="40">
        <v>669184.21</v>
      </c>
      <c r="E140" s="40">
        <v>74164.63</v>
      </c>
      <c r="F140" s="78">
        <v>1.3938999999999999</v>
      </c>
      <c r="G140" s="40">
        <v>689412.7</v>
      </c>
      <c r="H140" s="40">
        <v>53936.14</v>
      </c>
      <c r="I140" s="78">
        <v>1.3761000000000001</v>
      </c>
    </row>
    <row r="141" spans="1:9">
      <c r="A141" s="69" t="s">
        <v>57</v>
      </c>
      <c r="B141" s="70">
        <v>45717</v>
      </c>
      <c r="C141" s="38">
        <v>758827.64</v>
      </c>
      <c r="D141" s="38">
        <v>679887.62</v>
      </c>
      <c r="E141" s="38">
        <v>78940.02</v>
      </c>
      <c r="F141" s="73">
        <v>1.4836</v>
      </c>
      <c r="G141" s="38">
        <v>712749.39</v>
      </c>
      <c r="H141" s="38">
        <v>46078.25</v>
      </c>
      <c r="I141" s="73">
        <v>1.1756</v>
      </c>
    </row>
    <row r="142" spans="1:9">
      <c r="A142" s="74" t="s">
        <v>57</v>
      </c>
      <c r="B142" s="75">
        <v>45748</v>
      </c>
      <c r="C142" s="40">
        <v>646559.71</v>
      </c>
      <c r="D142" s="40">
        <v>641391.02</v>
      </c>
      <c r="E142" s="40">
        <v>5168.6899999999996</v>
      </c>
      <c r="F142" s="78">
        <v>9.7100000000000006E-2</v>
      </c>
      <c r="G142" s="40">
        <v>610677.77</v>
      </c>
      <c r="H142" s="40">
        <v>35881.94</v>
      </c>
      <c r="I142" s="78">
        <v>0.91539999999999999</v>
      </c>
    </row>
    <row r="143" spans="1:9">
      <c r="A143" s="69" t="s">
        <v>58</v>
      </c>
      <c r="B143" s="70">
        <v>45658</v>
      </c>
      <c r="C143" s="38">
        <v>715890.53</v>
      </c>
      <c r="D143" s="38">
        <v>675713.29</v>
      </c>
      <c r="E143" s="38">
        <v>40177.24</v>
      </c>
      <c r="F143" s="73">
        <v>0.75509999999999999</v>
      </c>
      <c r="G143" s="38">
        <v>685047.09</v>
      </c>
      <c r="H143" s="38">
        <v>30843.439999999999</v>
      </c>
      <c r="I143" s="73">
        <v>0.78690000000000004</v>
      </c>
    </row>
    <row r="144" spans="1:9">
      <c r="A144" s="74" t="s">
        <v>58</v>
      </c>
      <c r="B144" s="75">
        <v>45689</v>
      </c>
      <c r="C144" s="40">
        <v>715097.57</v>
      </c>
      <c r="D144" s="40">
        <v>685596.1</v>
      </c>
      <c r="E144" s="40">
        <v>29501.47</v>
      </c>
      <c r="F144" s="78">
        <v>0.55449999999999999</v>
      </c>
      <c r="G144" s="40">
        <v>707655.82</v>
      </c>
      <c r="H144" s="40">
        <v>7441.75</v>
      </c>
      <c r="I144" s="78">
        <v>0.18990000000000001</v>
      </c>
    </row>
    <row r="145" spans="1:9">
      <c r="A145" s="69" t="s">
        <v>58</v>
      </c>
      <c r="B145" s="70">
        <v>45717</v>
      </c>
      <c r="C145" s="38">
        <v>682639.28</v>
      </c>
      <c r="D145" s="38">
        <v>647813.06999999995</v>
      </c>
      <c r="E145" s="38">
        <v>34826.21</v>
      </c>
      <c r="F145" s="73">
        <v>0.65449999999999997</v>
      </c>
      <c r="G145" s="38">
        <v>663057.03</v>
      </c>
      <c r="H145" s="38">
        <v>19582.25</v>
      </c>
      <c r="I145" s="73">
        <v>0.49959999999999999</v>
      </c>
    </row>
    <row r="146" spans="1:9">
      <c r="A146" s="74" t="s">
        <v>58</v>
      </c>
      <c r="B146" s="75">
        <v>45748</v>
      </c>
      <c r="C146" s="40">
        <v>695098.51</v>
      </c>
      <c r="D146" s="40">
        <v>663654.11</v>
      </c>
      <c r="E146" s="40">
        <v>31444.400000000001</v>
      </c>
      <c r="F146" s="78">
        <v>0.59099999999999997</v>
      </c>
      <c r="G146" s="40">
        <v>676769.22</v>
      </c>
      <c r="H146" s="40">
        <v>18329.29</v>
      </c>
      <c r="I146" s="78">
        <v>0.46760000000000002</v>
      </c>
    </row>
    <row r="147" spans="1:9">
      <c r="A147" s="69" t="s">
        <v>59</v>
      </c>
      <c r="B147" s="70">
        <v>45658</v>
      </c>
      <c r="C147" s="38">
        <v>577732.56999999995</v>
      </c>
      <c r="D147" s="38">
        <v>600254.25</v>
      </c>
      <c r="E147" s="71">
        <v>-22521.68</v>
      </c>
      <c r="F147" s="73">
        <v>-0.42330000000000001</v>
      </c>
      <c r="G147" s="38">
        <v>593428.92000000004</v>
      </c>
      <c r="H147" s="71">
        <v>-15696.35</v>
      </c>
      <c r="I147" s="73">
        <v>-0.40050000000000002</v>
      </c>
    </row>
    <row r="148" spans="1:9">
      <c r="A148" s="74" t="s">
        <v>59</v>
      </c>
      <c r="B148" s="75">
        <v>45689</v>
      </c>
      <c r="C148" s="40">
        <v>537058.32999999996</v>
      </c>
      <c r="D148" s="40">
        <v>558867.74</v>
      </c>
      <c r="E148" s="76">
        <v>-21809.41</v>
      </c>
      <c r="F148" s="78">
        <v>-0.40989999999999999</v>
      </c>
      <c r="G148" s="40">
        <v>536116.75</v>
      </c>
      <c r="H148" s="40">
        <v>941.58</v>
      </c>
      <c r="I148" s="78">
        <v>2.4E-2</v>
      </c>
    </row>
    <row r="149" spans="1:9">
      <c r="A149" s="69" t="s">
        <v>59</v>
      </c>
      <c r="B149" s="70">
        <v>45717</v>
      </c>
      <c r="C149" s="38">
        <v>601568.87</v>
      </c>
      <c r="D149" s="38">
        <v>598363.31999999995</v>
      </c>
      <c r="E149" s="38">
        <v>3205.55</v>
      </c>
      <c r="F149" s="73">
        <v>6.0199999999999997E-2</v>
      </c>
      <c r="G149" s="38">
        <v>587531.44999999995</v>
      </c>
      <c r="H149" s="38">
        <v>14037.42</v>
      </c>
      <c r="I149" s="73">
        <v>0.35809999999999997</v>
      </c>
    </row>
    <row r="150" spans="1:9">
      <c r="A150" s="74" t="s">
        <v>59</v>
      </c>
      <c r="B150" s="75">
        <v>45748</v>
      </c>
      <c r="C150" s="40">
        <v>570964.84</v>
      </c>
      <c r="D150" s="40">
        <v>565931.99</v>
      </c>
      <c r="E150" s="40">
        <v>5032.8500000000004</v>
      </c>
      <c r="F150" s="78">
        <v>9.4600000000000004E-2</v>
      </c>
      <c r="G150" s="40">
        <v>553214.80000000005</v>
      </c>
      <c r="H150" s="40">
        <v>17750.04</v>
      </c>
      <c r="I150" s="78">
        <v>0.45290000000000002</v>
      </c>
    </row>
    <row r="151" spans="1:9">
      <c r="A151" s="69" t="s">
        <v>60</v>
      </c>
      <c r="B151" s="70">
        <v>45658</v>
      </c>
      <c r="C151" s="38">
        <v>614024.91</v>
      </c>
      <c r="D151" s="38">
        <v>636538.81000000006</v>
      </c>
      <c r="E151" s="71">
        <v>-22513.9</v>
      </c>
      <c r="F151" s="73">
        <v>-0.42309999999999998</v>
      </c>
      <c r="G151" s="38">
        <v>610621.85</v>
      </c>
      <c r="H151" s="38">
        <v>3403.06</v>
      </c>
      <c r="I151" s="73">
        <v>8.6800000000000002E-2</v>
      </c>
    </row>
    <row r="152" spans="1:9">
      <c r="A152" s="74" t="s">
        <v>60</v>
      </c>
      <c r="B152" s="75">
        <v>45689</v>
      </c>
      <c r="C152" s="40">
        <v>712868.35</v>
      </c>
      <c r="D152" s="40">
        <v>680137.36</v>
      </c>
      <c r="E152" s="40">
        <v>32730.99</v>
      </c>
      <c r="F152" s="78">
        <v>0.61519999999999997</v>
      </c>
      <c r="G152" s="40">
        <v>706466.21</v>
      </c>
      <c r="H152" s="40">
        <v>6402.14</v>
      </c>
      <c r="I152" s="78">
        <v>0.1633</v>
      </c>
    </row>
    <row r="153" spans="1:9">
      <c r="A153" s="69" t="s">
        <v>60</v>
      </c>
      <c r="B153" s="70">
        <v>45717</v>
      </c>
      <c r="C153" s="38">
        <v>696744.15</v>
      </c>
      <c r="D153" s="38">
        <v>644423.66</v>
      </c>
      <c r="E153" s="38">
        <v>52320.49</v>
      </c>
      <c r="F153" s="73">
        <v>0.98329999999999995</v>
      </c>
      <c r="G153" s="38">
        <v>686612.88</v>
      </c>
      <c r="H153" s="38">
        <v>10131.27</v>
      </c>
      <c r="I153" s="73">
        <v>0.25850000000000001</v>
      </c>
    </row>
    <row r="154" spans="1:9">
      <c r="A154" s="74" t="s">
        <v>60</v>
      </c>
      <c r="B154" s="75">
        <v>45748</v>
      </c>
      <c r="C154" s="40">
        <v>725847.99</v>
      </c>
      <c r="D154" s="40">
        <v>657303.42000000004</v>
      </c>
      <c r="E154" s="40">
        <v>68544.570000000007</v>
      </c>
      <c r="F154" s="78">
        <v>1.2883</v>
      </c>
      <c r="G154" s="40">
        <v>716365.84</v>
      </c>
      <c r="H154" s="40">
        <v>9482.15</v>
      </c>
      <c r="I154" s="78">
        <v>0.2419</v>
      </c>
    </row>
    <row r="155" spans="1:9">
      <c r="A155" s="69" t="s">
        <v>61</v>
      </c>
      <c r="B155" s="70">
        <v>45658</v>
      </c>
      <c r="C155" s="38">
        <v>785028.25</v>
      </c>
      <c r="D155" s="38">
        <v>791559.86</v>
      </c>
      <c r="E155" s="71">
        <v>-6531.61</v>
      </c>
      <c r="F155" s="73">
        <v>-0.12280000000000001</v>
      </c>
      <c r="G155" s="38">
        <v>804962.7</v>
      </c>
      <c r="H155" s="71">
        <v>-19934.45</v>
      </c>
      <c r="I155" s="73">
        <v>-0.50860000000000005</v>
      </c>
    </row>
    <row r="156" spans="1:9">
      <c r="A156" s="74" t="s">
        <v>61</v>
      </c>
      <c r="B156" s="75">
        <v>45689</v>
      </c>
      <c r="C156" s="40">
        <v>698492.67</v>
      </c>
      <c r="D156" s="40">
        <v>686880.51</v>
      </c>
      <c r="E156" s="40">
        <v>11612.16</v>
      </c>
      <c r="F156" s="78">
        <v>0.21820000000000001</v>
      </c>
      <c r="G156" s="40">
        <v>691869.69</v>
      </c>
      <c r="H156" s="40">
        <v>6622.98</v>
      </c>
      <c r="I156" s="78">
        <v>0.16900000000000001</v>
      </c>
    </row>
    <row r="157" spans="1:9">
      <c r="A157" s="69" t="s">
        <v>61</v>
      </c>
      <c r="B157" s="70">
        <v>45717</v>
      </c>
      <c r="C157" s="38">
        <v>685830.24</v>
      </c>
      <c r="D157" s="38">
        <v>722736.93</v>
      </c>
      <c r="E157" s="71">
        <v>-36906.69</v>
      </c>
      <c r="F157" s="73">
        <v>-0.69359999999999999</v>
      </c>
      <c r="G157" s="38">
        <v>718423.49</v>
      </c>
      <c r="H157" s="71">
        <v>-32593.25</v>
      </c>
      <c r="I157" s="73">
        <v>-0.83150000000000002</v>
      </c>
    </row>
    <row r="158" spans="1:9">
      <c r="A158" s="74" t="s">
        <v>61</v>
      </c>
      <c r="B158" s="75">
        <v>45748</v>
      </c>
      <c r="C158" s="40">
        <v>702318.94</v>
      </c>
      <c r="D158" s="40">
        <v>720881.68</v>
      </c>
      <c r="E158" s="76">
        <v>-18562.740000000002</v>
      </c>
      <c r="F158" s="78">
        <v>-0.34889999999999999</v>
      </c>
      <c r="G158" s="40">
        <v>712094.38</v>
      </c>
      <c r="H158" s="76">
        <v>-9775.44</v>
      </c>
      <c r="I158" s="78">
        <v>-0.24940000000000001</v>
      </c>
    </row>
    <row r="159" spans="1:9">
      <c r="A159" s="69" t="s">
        <v>62</v>
      </c>
      <c r="B159" s="70">
        <v>45658</v>
      </c>
      <c r="C159" s="38">
        <v>700078.32</v>
      </c>
      <c r="D159" s="38">
        <v>675606.25</v>
      </c>
      <c r="E159" s="38">
        <v>24472.07</v>
      </c>
      <c r="F159" s="73">
        <v>0.45989999999999998</v>
      </c>
      <c r="G159" s="38">
        <v>728542.94</v>
      </c>
      <c r="H159" s="71">
        <v>-28464.62</v>
      </c>
      <c r="I159" s="73">
        <v>-0.72619999999999996</v>
      </c>
    </row>
    <row r="160" spans="1:9">
      <c r="A160" s="74" t="s">
        <v>62</v>
      </c>
      <c r="B160" s="75">
        <v>45689</v>
      </c>
      <c r="C160" s="40">
        <v>602002.31999999995</v>
      </c>
      <c r="D160" s="40">
        <v>639071.94999999995</v>
      </c>
      <c r="E160" s="76">
        <v>-37069.629999999997</v>
      </c>
      <c r="F160" s="78">
        <v>-0.69669999999999999</v>
      </c>
      <c r="G160" s="40">
        <v>607242.86</v>
      </c>
      <c r="H160" s="76">
        <v>-5240.54</v>
      </c>
      <c r="I160" s="78">
        <v>-0.13370000000000001</v>
      </c>
    </row>
    <row r="161" spans="1:9">
      <c r="A161" s="69" t="s">
        <v>62</v>
      </c>
      <c r="B161" s="70">
        <v>45717</v>
      </c>
      <c r="C161" s="38">
        <v>724216.07</v>
      </c>
      <c r="D161" s="38">
        <v>696691.97</v>
      </c>
      <c r="E161" s="38">
        <v>27524.1</v>
      </c>
      <c r="F161" s="73">
        <v>0.51729999999999998</v>
      </c>
      <c r="G161" s="38">
        <v>670820.97</v>
      </c>
      <c r="H161" s="38">
        <v>53395.1</v>
      </c>
      <c r="I161" s="73">
        <v>1.3622000000000001</v>
      </c>
    </row>
    <row r="162" spans="1:9">
      <c r="A162" s="74" t="s">
        <v>62</v>
      </c>
      <c r="B162" s="75">
        <v>45748</v>
      </c>
      <c r="C162" s="40">
        <v>620973.03</v>
      </c>
      <c r="D162" s="40">
        <v>583663.97</v>
      </c>
      <c r="E162" s="40">
        <v>37309.06</v>
      </c>
      <c r="F162" s="78">
        <v>0.70120000000000005</v>
      </c>
      <c r="G162" s="40">
        <v>560648.56999999995</v>
      </c>
      <c r="H162" s="40">
        <v>60324.46</v>
      </c>
      <c r="I162" s="72">
        <v>1.5389999999999999</v>
      </c>
    </row>
    <row r="163" spans="1:9">
      <c r="A163" s="69" t="s">
        <v>63</v>
      </c>
      <c r="B163" s="70">
        <v>45658</v>
      </c>
      <c r="C163" s="38">
        <v>650480.06000000006</v>
      </c>
      <c r="D163" s="38">
        <v>712390.3</v>
      </c>
      <c r="E163" s="71">
        <v>-61910.239999999998</v>
      </c>
      <c r="F163" s="73">
        <v>-1.1636</v>
      </c>
      <c r="G163" s="38">
        <v>697755.98</v>
      </c>
      <c r="H163" s="71">
        <v>-47275.92</v>
      </c>
      <c r="I163" s="73">
        <v>-1.2060999999999999</v>
      </c>
    </row>
    <row r="164" spans="1:9">
      <c r="A164" s="74" t="s">
        <v>63</v>
      </c>
      <c r="B164" s="75">
        <v>45689</v>
      </c>
      <c r="C164" s="40">
        <v>778298.88</v>
      </c>
      <c r="D164" s="40">
        <v>695871.38</v>
      </c>
      <c r="E164" s="40">
        <v>82427.5</v>
      </c>
      <c r="F164" s="72">
        <v>1.5491999999999999</v>
      </c>
      <c r="G164" s="40">
        <v>717591.46</v>
      </c>
      <c r="H164" s="40">
        <v>60707.42</v>
      </c>
      <c r="I164" s="72">
        <v>1.5488</v>
      </c>
    </row>
    <row r="165" spans="1:9">
      <c r="A165" s="69" t="s">
        <v>63</v>
      </c>
      <c r="B165" s="70">
        <v>45717</v>
      </c>
      <c r="C165" s="38">
        <v>677096.71</v>
      </c>
      <c r="D165" s="38">
        <v>733190.6</v>
      </c>
      <c r="E165" s="71">
        <v>-56093.89</v>
      </c>
      <c r="F165" s="73">
        <v>-1.0543</v>
      </c>
      <c r="G165" s="38">
        <v>686688.28</v>
      </c>
      <c r="H165" s="71">
        <v>-9591.57</v>
      </c>
      <c r="I165" s="73">
        <v>-0.2447</v>
      </c>
    </row>
    <row r="166" spans="1:9">
      <c r="A166" s="74" t="s">
        <v>63</v>
      </c>
      <c r="B166" s="75">
        <v>45748</v>
      </c>
      <c r="C166" s="40">
        <v>692008.64</v>
      </c>
      <c r="D166" s="40">
        <v>662441.06000000006</v>
      </c>
      <c r="E166" s="40">
        <v>29567.58</v>
      </c>
      <c r="F166" s="78">
        <v>0.55569999999999997</v>
      </c>
      <c r="G166" s="40">
        <v>732031.68</v>
      </c>
      <c r="H166" s="76">
        <v>-40023.040000000001</v>
      </c>
      <c r="I166" s="78">
        <v>-1.0210999999999999</v>
      </c>
    </row>
    <row r="167" spans="1:9">
      <c r="A167" s="69" t="s">
        <v>64</v>
      </c>
      <c r="B167" s="70">
        <v>45658</v>
      </c>
      <c r="C167" s="38">
        <v>825797.91</v>
      </c>
      <c r="D167" s="38">
        <v>779036.87</v>
      </c>
      <c r="E167" s="38">
        <v>46761.04</v>
      </c>
      <c r="F167" s="73">
        <v>0.87890000000000001</v>
      </c>
      <c r="G167" s="38">
        <v>780930.71</v>
      </c>
      <c r="H167" s="38">
        <v>44867.199999999997</v>
      </c>
      <c r="I167" s="73">
        <v>1.1447000000000001</v>
      </c>
    </row>
    <row r="168" spans="1:9">
      <c r="A168" s="74" t="s">
        <v>64</v>
      </c>
      <c r="B168" s="75">
        <v>45689</v>
      </c>
      <c r="C168" s="40">
        <v>706285.52</v>
      </c>
      <c r="D168" s="40">
        <v>759984.8</v>
      </c>
      <c r="E168" s="76">
        <v>-53699.28</v>
      </c>
      <c r="F168" s="78">
        <v>-1.0093000000000001</v>
      </c>
      <c r="G168" s="40">
        <v>723199.67</v>
      </c>
      <c r="H168" s="76">
        <v>-16914.150000000001</v>
      </c>
      <c r="I168" s="78">
        <v>-0.43149999999999999</v>
      </c>
    </row>
    <row r="169" spans="1:9">
      <c r="A169" s="69" t="s">
        <v>64</v>
      </c>
      <c r="B169" s="70">
        <v>45717</v>
      </c>
      <c r="C169" s="38">
        <v>665534.69999999995</v>
      </c>
      <c r="D169" s="38">
        <v>693980.44</v>
      </c>
      <c r="E169" s="71">
        <v>-28445.74</v>
      </c>
      <c r="F169" s="73">
        <v>-0.53459999999999996</v>
      </c>
      <c r="G169" s="38">
        <v>677703.94</v>
      </c>
      <c r="H169" s="71">
        <v>-12169.24</v>
      </c>
      <c r="I169" s="73">
        <v>-0.3105</v>
      </c>
    </row>
    <row r="170" spans="1:9">
      <c r="A170" s="74" t="s">
        <v>64</v>
      </c>
      <c r="B170" s="75">
        <v>45748</v>
      </c>
      <c r="C170" s="40">
        <v>820729.29</v>
      </c>
      <c r="D170" s="40">
        <v>783211.2</v>
      </c>
      <c r="E170" s="40">
        <v>37518.089999999997</v>
      </c>
      <c r="F170" s="78">
        <v>0.70509999999999995</v>
      </c>
      <c r="G170" s="40">
        <v>810211.93</v>
      </c>
      <c r="H170" s="40">
        <v>10517.36</v>
      </c>
      <c r="I170" s="78">
        <v>0.26829999999999998</v>
      </c>
    </row>
    <row r="171" spans="1:9">
      <c r="A171" s="69" t="s">
        <v>65</v>
      </c>
      <c r="B171" s="70">
        <v>45658</v>
      </c>
      <c r="C171" s="38">
        <v>739831.73</v>
      </c>
      <c r="D171" s="38">
        <v>780856.45</v>
      </c>
      <c r="E171" s="71">
        <v>-41024.720000000001</v>
      </c>
      <c r="F171" s="73">
        <v>-0.77100000000000002</v>
      </c>
      <c r="G171" s="38">
        <v>739703.73</v>
      </c>
      <c r="H171" s="38">
        <v>128</v>
      </c>
      <c r="I171" s="73">
        <v>3.3E-3</v>
      </c>
    </row>
    <row r="172" spans="1:9">
      <c r="A172" s="74" t="s">
        <v>65</v>
      </c>
      <c r="B172" s="75">
        <v>45689</v>
      </c>
      <c r="C172" s="40">
        <v>593637.14</v>
      </c>
      <c r="D172" s="40">
        <v>716707.35</v>
      </c>
      <c r="E172" s="76">
        <v>-123070.21</v>
      </c>
      <c r="F172" s="77">
        <v>-2.3130999999999999</v>
      </c>
      <c r="G172" s="40">
        <v>644855.81999999995</v>
      </c>
      <c r="H172" s="76">
        <v>-51218.68</v>
      </c>
      <c r="I172" s="78">
        <v>-1.3067</v>
      </c>
    </row>
    <row r="173" spans="1:9">
      <c r="A173" s="69" t="s">
        <v>65</v>
      </c>
      <c r="B173" s="70">
        <v>45717</v>
      </c>
      <c r="C173" s="38">
        <v>769702.76</v>
      </c>
      <c r="D173" s="38">
        <v>765693.28</v>
      </c>
      <c r="E173" s="38">
        <v>4009.48</v>
      </c>
      <c r="F173" s="73">
        <v>7.5399999999999995E-2</v>
      </c>
      <c r="G173" s="38">
        <v>708811.79</v>
      </c>
      <c r="H173" s="38">
        <v>60890.97</v>
      </c>
      <c r="I173" s="72">
        <v>1.5535000000000001</v>
      </c>
    </row>
    <row r="174" spans="1:9">
      <c r="A174" s="74" t="s">
        <v>65</v>
      </c>
      <c r="B174" s="75">
        <v>45748</v>
      </c>
      <c r="C174" s="40">
        <v>679731.57</v>
      </c>
      <c r="D174" s="40">
        <v>720096.76</v>
      </c>
      <c r="E174" s="76">
        <v>-40365.19</v>
      </c>
      <c r="F174" s="78">
        <v>-0.75860000000000005</v>
      </c>
      <c r="G174" s="40">
        <v>682936.55</v>
      </c>
      <c r="H174" s="76">
        <v>-3204.98</v>
      </c>
      <c r="I174" s="78">
        <v>-8.1799999999999998E-2</v>
      </c>
    </row>
    <row r="175" spans="1:9">
      <c r="A175" s="69" t="s">
        <v>66</v>
      </c>
      <c r="B175" s="70">
        <v>45658</v>
      </c>
      <c r="C175" s="38">
        <v>780344.18</v>
      </c>
      <c r="D175" s="38">
        <v>758272.25</v>
      </c>
      <c r="E175" s="38">
        <v>22071.93</v>
      </c>
      <c r="F175" s="73">
        <v>0.4148</v>
      </c>
      <c r="G175" s="38">
        <v>731484.71</v>
      </c>
      <c r="H175" s="38">
        <v>48859.47</v>
      </c>
      <c r="I175" s="73">
        <v>1.2464999999999999</v>
      </c>
    </row>
    <row r="176" spans="1:9">
      <c r="A176" s="74" t="s">
        <v>66</v>
      </c>
      <c r="B176" s="75">
        <v>45689</v>
      </c>
      <c r="C176" s="40">
        <v>721364.11</v>
      </c>
      <c r="D176" s="40">
        <v>784638.32</v>
      </c>
      <c r="E176" s="76">
        <v>-63274.21</v>
      </c>
      <c r="F176" s="78">
        <v>-1.1892</v>
      </c>
      <c r="G176" s="40">
        <v>730421.28</v>
      </c>
      <c r="H176" s="76">
        <v>-9057.17</v>
      </c>
      <c r="I176" s="78">
        <v>-0.2311</v>
      </c>
    </row>
    <row r="177" spans="1:9">
      <c r="A177" s="69" t="s">
        <v>66</v>
      </c>
      <c r="B177" s="70">
        <v>45717</v>
      </c>
      <c r="C177" s="38">
        <v>758138.29</v>
      </c>
      <c r="D177" s="38">
        <v>796982.92</v>
      </c>
      <c r="E177" s="71">
        <v>-38844.629999999997</v>
      </c>
      <c r="F177" s="73">
        <v>-0.73009999999999997</v>
      </c>
      <c r="G177" s="38">
        <v>728135.5</v>
      </c>
      <c r="H177" s="38">
        <v>30002.79</v>
      </c>
      <c r="I177" s="73">
        <v>0.76549999999999996</v>
      </c>
    </row>
    <row r="178" spans="1:9">
      <c r="A178" s="74" t="s">
        <v>66</v>
      </c>
      <c r="B178" s="75">
        <v>45748</v>
      </c>
      <c r="C178" s="40">
        <v>804264</v>
      </c>
      <c r="D178" s="40">
        <v>817533.46</v>
      </c>
      <c r="E178" s="76">
        <v>-13269.46</v>
      </c>
      <c r="F178" s="78">
        <v>-0.24940000000000001</v>
      </c>
      <c r="G178" s="40">
        <v>793473.61</v>
      </c>
      <c r="H178" s="40">
        <v>10790.39</v>
      </c>
      <c r="I178" s="78">
        <v>0.27529999999999999</v>
      </c>
    </row>
    <row r="179" spans="1:9">
      <c r="A179" s="69" t="s">
        <v>67</v>
      </c>
      <c r="B179" s="70">
        <v>45658</v>
      </c>
      <c r="C179" s="38">
        <v>887537.75</v>
      </c>
      <c r="D179" s="38">
        <v>887426.73</v>
      </c>
      <c r="E179" s="38">
        <v>111.02</v>
      </c>
      <c r="F179" s="73">
        <v>2.0999999999999999E-3</v>
      </c>
      <c r="G179" s="38">
        <v>896972.16</v>
      </c>
      <c r="H179" s="71">
        <v>-9434.41</v>
      </c>
      <c r="I179" s="73">
        <v>-0.2407</v>
      </c>
    </row>
    <row r="180" spans="1:9">
      <c r="A180" s="74" t="s">
        <v>67</v>
      </c>
      <c r="B180" s="75">
        <v>45689</v>
      </c>
      <c r="C180" s="40">
        <v>783582</v>
      </c>
      <c r="D180" s="40">
        <v>729158.98</v>
      </c>
      <c r="E180" s="40">
        <v>54423.02</v>
      </c>
      <c r="F180" s="78">
        <v>1.0228999999999999</v>
      </c>
      <c r="G180" s="40">
        <v>731527.86</v>
      </c>
      <c r="H180" s="40">
        <v>52054.14</v>
      </c>
      <c r="I180" s="78">
        <v>1.3280000000000001</v>
      </c>
    </row>
    <row r="181" spans="1:9">
      <c r="A181" s="69" t="s">
        <v>67</v>
      </c>
      <c r="B181" s="70">
        <v>45717</v>
      </c>
      <c r="C181" s="38">
        <v>781955.52</v>
      </c>
      <c r="D181" s="38">
        <v>762874.72</v>
      </c>
      <c r="E181" s="38">
        <v>19080.8</v>
      </c>
      <c r="F181" s="73">
        <v>0.35859999999999997</v>
      </c>
      <c r="G181" s="38">
        <v>790511.1</v>
      </c>
      <c r="H181" s="71">
        <v>-8555.58</v>
      </c>
      <c r="I181" s="73">
        <v>-0.21829999999999999</v>
      </c>
    </row>
    <row r="182" spans="1:9">
      <c r="A182" s="74" t="s">
        <v>67</v>
      </c>
      <c r="B182" s="75">
        <v>45748</v>
      </c>
      <c r="C182" s="40">
        <v>898031.04</v>
      </c>
      <c r="D182" s="40">
        <v>803155.22</v>
      </c>
      <c r="E182" s="40">
        <v>94875.82</v>
      </c>
      <c r="F182" s="72">
        <v>1.7831999999999999</v>
      </c>
      <c r="G182" s="40">
        <v>841733.65</v>
      </c>
      <c r="H182" s="40">
        <v>56297.39</v>
      </c>
      <c r="I182" s="78">
        <v>1.4362999999999999</v>
      </c>
    </row>
    <row r="183" spans="1:9">
      <c r="A183" s="69" t="s">
        <v>68</v>
      </c>
      <c r="B183" s="70">
        <v>45658</v>
      </c>
      <c r="C183" s="38">
        <v>855341.28</v>
      </c>
      <c r="D183" s="38">
        <v>844363.34</v>
      </c>
      <c r="E183" s="38">
        <v>10977.94</v>
      </c>
      <c r="F183" s="73">
        <v>0.20630000000000001</v>
      </c>
      <c r="G183" s="38">
        <v>858429.6</v>
      </c>
      <c r="H183" s="71">
        <v>-3088.32</v>
      </c>
      <c r="I183" s="73">
        <v>-7.8799999999999995E-2</v>
      </c>
    </row>
    <row r="184" spans="1:9">
      <c r="A184" s="74" t="s">
        <v>68</v>
      </c>
      <c r="B184" s="75">
        <v>45689</v>
      </c>
      <c r="C184" s="40">
        <v>751393.88</v>
      </c>
      <c r="D184" s="40">
        <v>777752.46</v>
      </c>
      <c r="E184" s="76">
        <v>-26358.58</v>
      </c>
      <c r="F184" s="78">
        <v>-0.49540000000000001</v>
      </c>
      <c r="G184" s="40">
        <v>711012.8</v>
      </c>
      <c r="H184" s="40">
        <v>40381.08</v>
      </c>
      <c r="I184" s="78">
        <v>1.0302</v>
      </c>
    </row>
    <row r="185" spans="1:9">
      <c r="A185" s="69" t="s">
        <v>68</v>
      </c>
      <c r="B185" s="70">
        <v>45717</v>
      </c>
      <c r="C185" s="38">
        <v>761077.08</v>
      </c>
      <c r="D185" s="38">
        <v>796483.42</v>
      </c>
      <c r="E185" s="71">
        <v>-35406.339999999997</v>
      </c>
      <c r="F185" s="73">
        <v>-0.66539999999999999</v>
      </c>
      <c r="G185" s="38">
        <v>785319.47</v>
      </c>
      <c r="H185" s="71">
        <v>-24242.39</v>
      </c>
      <c r="I185" s="73">
        <v>-0.61850000000000005</v>
      </c>
    </row>
    <row r="186" spans="1:9">
      <c r="A186" s="74" t="s">
        <v>68</v>
      </c>
      <c r="B186" s="75">
        <v>45748</v>
      </c>
      <c r="C186" s="40">
        <v>819660.59</v>
      </c>
      <c r="D186" s="40">
        <v>829628.31</v>
      </c>
      <c r="E186" s="76">
        <v>-9967.7199999999993</v>
      </c>
      <c r="F186" s="78">
        <v>-0.18729999999999999</v>
      </c>
      <c r="G186" s="40">
        <v>816396.62</v>
      </c>
      <c r="H186" s="40">
        <v>3263.97</v>
      </c>
      <c r="I186" s="78">
        <v>8.3299999999999999E-2</v>
      </c>
    </row>
    <row r="187" spans="1:9">
      <c r="A187" s="69" t="s">
        <v>69</v>
      </c>
      <c r="B187" s="70">
        <v>45658</v>
      </c>
      <c r="C187" s="38">
        <v>681855.56</v>
      </c>
      <c r="D187" s="38">
        <v>663475.72</v>
      </c>
      <c r="E187" s="38">
        <v>18379.84</v>
      </c>
      <c r="F187" s="73">
        <v>0.34539999999999998</v>
      </c>
      <c r="G187" s="38">
        <v>701603.45</v>
      </c>
      <c r="H187" s="71">
        <v>-19747.89</v>
      </c>
      <c r="I187" s="73">
        <v>-0.50380000000000003</v>
      </c>
    </row>
    <row r="188" spans="1:9">
      <c r="A188" s="74" t="s">
        <v>69</v>
      </c>
      <c r="B188" s="75">
        <v>45689</v>
      </c>
      <c r="C188" s="40">
        <v>678311.17</v>
      </c>
      <c r="D188" s="40">
        <v>633791.6</v>
      </c>
      <c r="E188" s="40">
        <v>44519.57</v>
      </c>
      <c r="F188" s="78">
        <v>0.8367</v>
      </c>
      <c r="G188" s="40">
        <v>648619.91</v>
      </c>
      <c r="H188" s="40">
        <v>29691.26</v>
      </c>
      <c r="I188" s="78">
        <v>0.75749999999999995</v>
      </c>
    </row>
    <row r="189" spans="1:9">
      <c r="A189" s="69" t="s">
        <v>69</v>
      </c>
      <c r="B189" s="70">
        <v>45717</v>
      </c>
      <c r="C189" s="38">
        <v>765906.95</v>
      </c>
      <c r="D189" s="38">
        <v>678888.63</v>
      </c>
      <c r="E189" s="38">
        <v>87018.32</v>
      </c>
      <c r="F189" s="72">
        <v>1.6355</v>
      </c>
      <c r="G189" s="38">
        <v>724801.12</v>
      </c>
      <c r="H189" s="38">
        <v>41105.83</v>
      </c>
      <c r="I189" s="73">
        <v>1.0487</v>
      </c>
    </row>
    <row r="190" spans="1:9">
      <c r="A190" s="74" t="s">
        <v>69</v>
      </c>
      <c r="B190" s="75">
        <v>45748</v>
      </c>
      <c r="C190" s="40">
        <v>712546.38</v>
      </c>
      <c r="D190" s="40">
        <v>729408.73</v>
      </c>
      <c r="E190" s="76">
        <v>-16862.349999999999</v>
      </c>
      <c r="F190" s="78">
        <v>-0.31690000000000002</v>
      </c>
      <c r="G190" s="40">
        <v>677970.25</v>
      </c>
      <c r="H190" s="40">
        <v>34576.129999999997</v>
      </c>
      <c r="I190" s="78">
        <v>0.8821</v>
      </c>
    </row>
    <row r="191" spans="1:9">
      <c r="A191" s="69" t="s">
        <v>70</v>
      </c>
      <c r="B191" s="70">
        <v>45658</v>
      </c>
      <c r="C191" s="38">
        <v>625993.82999999996</v>
      </c>
      <c r="D191" s="38">
        <v>571497.76</v>
      </c>
      <c r="E191" s="38">
        <v>54496.07</v>
      </c>
      <c r="F191" s="73">
        <v>1.0242</v>
      </c>
      <c r="G191" s="38">
        <v>572052.56000000006</v>
      </c>
      <c r="H191" s="38">
        <v>53941.27</v>
      </c>
      <c r="I191" s="73">
        <v>1.3762000000000001</v>
      </c>
    </row>
    <row r="192" spans="1:9">
      <c r="A192" s="74" t="s">
        <v>70</v>
      </c>
      <c r="B192" s="75">
        <v>45689</v>
      </c>
      <c r="C192" s="40">
        <v>550962.93000000005</v>
      </c>
      <c r="D192" s="40">
        <v>528898.18999999994</v>
      </c>
      <c r="E192" s="40">
        <v>22064.74</v>
      </c>
      <c r="F192" s="78">
        <v>0.41470000000000001</v>
      </c>
      <c r="G192" s="40">
        <v>545532.09</v>
      </c>
      <c r="H192" s="40">
        <v>5430.84</v>
      </c>
      <c r="I192" s="78">
        <v>0.1386</v>
      </c>
    </row>
    <row r="193" spans="1:9">
      <c r="A193" s="69" t="s">
        <v>70</v>
      </c>
      <c r="B193" s="70">
        <v>45717</v>
      </c>
      <c r="C193" s="38">
        <v>443275.59</v>
      </c>
      <c r="D193" s="38">
        <v>491650.33</v>
      </c>
      <c r="E193" s="71">
        <v>-48374.74</v>
      </c>
      <c r="F193" s="73">
        <v>-0.90920000000000001</v>
      </c>
      <c r="G193" s="38">
        <v>451722.67</v>
      </c>
      <c r="H193" s="71">
        <v>-8447.08</v>
      </c>
      <c r="I193" s="73">
        <v>-0.2155</v>
      </c>
    </row>
    <row r="194" spans="1:9">
      <c r="A194" s="74" t="s">
        <v>70</v>
      </c>
      <c r="B194" s="75">
        <v>45748</v>
      </c>
      <c r="C194" s="40">
        <v>554012.06999999995</v>
      </c>
      <c r="D194" s="40">
        <v>604214.51</v>
      </c>
      <c r="E194" s="76">
        <v>-50202.44</v>
      </c>
      <c r="F194" s="78">
        <v>-0.94350000000000001</v>
      </c>
      <c r="G194" s="40">
        <v>613082.97</v>
      </c>
      <c r="H194" s="76">
        <v>-59070.9</v>
      </c>
      <c r="I194" s="72">
        <v>-1.5071000000000001</v>
      </c>
    </row>
    <row r="195" spans="1:9">
      <c r="A195" s="69" t="s">
        <v>71</v>
      </c>
      <c r="B195" s="70">
        <v>45658</v>
      </c>
      <c r="C195" s="38">
        <v>643428.85</v>
      </c>
      <c r="D195" s="38">
        <v>666793.78</v>
      </c>
      <c r="E195" s="71">
        <v>-23364.93</v>
      </c>
      <c r="F195" s="73">
        <v>-0.43909999999999999</v>
      </c>
      <c r="G195" s="38">
        <v>684550.54</v>
      </c>
      <c r="H195" s="71">
        <v>-41121.69</v>
      </c>
      <c r="I195" s="73">
        <v>-1.0490999999999999</v>
      </c>
    </row>
    <row r="196" spans="1:9">
      <c r="A196" s="74" t="s">
        <v>71</v>
      </c>
      <c r="B196" s="75">
        <v>45689</v>
      </c>
      <c r="C196" s="40">
        <v>611924.27</v>
      </c>
      <c r="D196" s="40">
        <v>630152.43999999994</v>
      </c>
      <c r="E196" s="76">
        <v>-18228.169999999998</v>
      </c>
      <c r="F196" s="78">
        <v>-0.34260000000000002</v>
      </c>
      <c r="G196" s="40">
        <v>611306.31999999995</v>
      </c>
      <c r="H196" s="40">
        <v>617.95000000000005</v>
      </c>
      <c r="I196" s="78">
        <v>1.5800000000000002E-2</v>
      </c>
    </row>
    <row r="197" spans="1:9">
      <c r="A197" s="69" t="s">
        <v>71</v>
      </c>
      <c r="B197" s="70">
        <v>45717</v>
      </c>
      <c r="C197" s="38">
        <v>559422.02</v>
      </c>
      <c r="D197" s="38">
        <v>581380.56999999995</v>
      </c>
      <c r="E197" s="71">
        <v>-21958.55</v>
      </c>
      <c r="F197" s="73">
        <v>-0.41270000000000001</v>
      </c>
      <c r="G197" s="38">
        <v>563455.4</v>
      </c>
      <c r="H197" s="71">
        <v>-4033.38</v>
      </c>
      <c r="I197" s="73">
        <v>-0.10290000000000001</v>
      </c>
    </row>
    <row r="198" spans="1:9">
      <c r="A198" s="74" t="s">
        <v>71</v>
      </c>
      <c r="B198" s="75">
        <v>45748</v>
      </c>
      <c r="C198" s="40">
        <v>449465.06</v>
      </c>
      <c r="D198" s="40">
        <v>558261.21</v>
      </c>
      <c r="E198" s="76">
        <v>-108796.15</v>
      </c>
      <c r="F198" s="77">
        <v>-2.0448</v>
      </c>
      <c r="G198" s="40">
        <v>483262.79</v>
      </c>
      <c r="H198" s="76">
        <v>-33797.730000000003</v>
      </c>
      <c r="I198" s="78">
        <v>-0.86229999999999996</v>
      </c>
    </row>
    <row r="199" spans="1:9">
      <c r="A199" s="69" t="s">
        <v>72</v>
      </c>
      <c r="B199" s="70">
        <v>45658</v>
      </c>
      <c r="C199" s="38">
        <v>691447.43</v>
      </c>
      <c r="D199" s="38">
        <v>623730.4</v>
      </c>
      <c r="E199" s="38">
        <v>67717.03</v>
      </c>
      <c r="F199" s="73">
        <v>1.2726999999999999</v>
      </c>
      <c r="G199" s="38">
        <v>635043.96</v>
      </c>
      <c r="H199" s="38">
        <v>56403.47</v>
      </c>
      <c r="I199" s="73">
        <v>1.4390000000000001</v>
      </c>
    </row>
    <row r="200" spans="1:9">
      <c r="A200" s="74" t="s">
        <v>72</v>
      </c>
      <c r="B200" s="75">
        <v>45689</v>
      </c>
      <c r="C200" s="40">
        <v>574066.61</v>
      </c>
      <c r="D200" s="40">
        <v>602180.87</v>
      </c>
      <c r="E200" s="76">
        <v>-28114.26</v>
      </c>
      <c r="F200" s="78">
        <v>-0.52839999999999998</v>
      </c>
      <c r="G200" s="40">
        <v>578513.26</v>
      </c>
      <c r="H200" s="76">
        <v>-4446.6499999999996</v>
      </c>
      <c r="I200" s="78">
        <v>-0.1134</v>
      </c>
    </row>
    <row r="201" spans="1:9">
      <c r="A201" s="69" t="s">
        <v>72</v>
      </c>
      <c r="B201" s="70">
        <v>45717</v>
      </c>
      <c r="C201" s="38">
        <v>578949.84</v>
      </c>
      <c r="D201" s="38">
        <v>625228.87</v>
      </c>
      <c r="E201" s="71">
        <v>-46279.03</v>
      </c>
      <c r="F201" s="73">
        <v>-0.86980000000000002</v>
      </c>
      <c r="G201" s="38">
        <v>612935.32999999996</v>
      </c>
      <c r="H201" s="71">
        <v>-33985.49</v>
      </c>
      <c r="I201" s="73">
        <v>-0.86709999999999998</v>
      </c>
    </row>
    <row r="202" spans="1:9">
      <c r="A202" s="74" t="s">
        <v>72</v>
      </c>
      <c r="B202" s="75">
        <v>45748</v>
      </c>
      <c r="C202" s="40">
        <v>735786.64</v>
      </c>
      <c r="D202" s="40">
        <v>645315.61</v>
      </c>
      <c r="E202" s="40">
        <v>90471.03</v>
      </c>
      <c r="F202" s="72">
        <v>1.7003999999999999</v>
      </c>
      <c r="G202" s="40">
        <v>662891.81000000006</v>
      </c>
      <c r="H202" s="40">
        <v>72894.83</v>
      </c>
      <c r="I202" s="72">
        <v>1.8596999999999999</v>
      </c>
    </row>
    <row r="203" spans="1:9">
      <c r="A203" s="69" t="s">
        <v>73</v>
      </c>
      <c r="B203" s="70">
        <v>45658</v>
      </c>
      <c r="C203" s="38">
        <v>598904.9</v>
      </c>
      <c r="D203" s="38">
        <v>658873.26</v>
      </c>
      <c r="E203" s="71">
        <v>-59968.36</v>
      </c>
      <c r="F203" s="73">
        <v>-1.1271</v>
      </c>
      <c r="G203" s="38">
        <v>645668.19999999995</v>
      </c>
      <c r="H203" s="71">
        <v>-46763.3</v>
      </c>
      <c r="I203" s="73">
        <v>-1.1931</v>
      </c>
    </row>
    <row r="204" spans="1:9">
      <c r="A204" s="74" t="s">
        <v>73</v>
      </c>
      <c r="B204" s="75">
        <v>45689</v>
      </c>
      <c r="C204" s="40">
        <v>787715.51</v>
      </c>
      <c r="D204" s="40">
        <v>674357.52</v>
      </c>
      <c r="E204" s="40">
        <v>113357.99</v>
      </c>
      <c r="F204" s="77">
        <v>2.1305000000000001</v>
      </c>
      <c r="G204" s="40">
        <v>701178.45</v>
      </c>
      <c r="H204" s="40">
        <v>86537.06</v>
      </c>
      <c r="I204" s="77">
        <v>2.2078000000000002</v>
      </c>
    </row>
    <row r="205" spans="1:9">
      <c r="A205" s="69" t="s">
        <v>73</v>
      </c>
      <c r="B205" s="70">
        <v>45717</v>
      </c>
      <c r="C205" s="38">
        <v>607084.92000000004</v>
      </c>
      <c r="D205" s="38">
        <v>692446.29</v>
      </c>
      <c r="E205" s="71">
        <v>-85361.37</v>
      </c>
      <c r="F205" s="72">
        <v>-1.6043000000000001</v>
      </c>
      <c r="G205" s="38">
        <v>661137.96</v>
      </c>
      <c r="H205" s="71">
        <v>-54053.04</v>
      </c>
      <c r="I205" s="73">
        <v>-1.379</v>
      </c>
    </row>
    <row r="206" spans="1:9">
      <c r="A206" s="74" t="s">
        <v>73</v>
      </c>
      <c r="B206" s="75">
        <v>45748</v>
      </c>
      <c r="C206" s="40">
        <v>650795.49</v>
      </c>
      <c r="D206" s="40">
        <v>661013.93999999994</v>
      </c>
      <c r="E206" s="76">
        <v>-10218.450000000001</v>
      </c>
      <c r="F206" s="78">
        <v>-0.19209999999999999</v>
      </c>
      <c r="G206" s="40">
        <v>694626.75</v>
      </c>
      <c r="H206" s="76">
        <v>-43831.26</v>
      </c>
      <c r="I206" s="78">
        <v>-1.1183000000000001</v>
      </c>
    </row>
    <row r="207" spans="1:9">
      <c r="A207" s="69" t="s">
        <v>74</v>
      </c>
      <c r="B207" s="70">
        <v>45658</v>
      </c>
      <c r="C207" s="38">
        <v>825060.52</v>
      </c>
      <c r="D207" s="38">
        <v>784495.61</v>
      </c>
      <c r="E207" s="38">
        <v>40564.910000000003</v>
      </c>
      <c r="F207" s="73">
        <v>0.76239999999999997</v>
      </c>
      <c r="G207" s="38">
        <v>858314.85</v>
      </c>
      <c r="H207" s="71">
        <v>-33254.33</v>
      </c>
      <c r="I207" s="73">
        <v>-0.84840000000000004</v>
      </c>
    </row>
    <row r="208" spans="1:9">
      <c r="A208" s="74" t="s">
        <v>74</v>
      </c>
      <c r="B208" s="75">
        <v>45689</v>
      </c>
      <c r="C208" s="40">
        <v>795464.47</v>
      </c>
      <c r="D208" s="40">
        <v>727375.08</v>
      </c>
      <c r="E208" s="40">
        <v>68089.39</v>
      </c>
      <c r="F208" s="78">
        <v>1.2797000000000001</v>
      </c>
      <c r="G208" s="40">
        <v>748872.15</v>
      </c>
      <c r="H208" s="40">
        <v>46592.32</v>
      </c>
      <c r="I208" s="78">
        <v>1.1887000000000001</v>
      </c>
    </row>
    <row r="209" spans="1:9">
      <c r="A209" s="69" t="s">
        <v>74</v>
      </c>
      <c r="B209" s="70">
        <v>45717</v>
      </c>
      <c r="C209" s="38">
        <v>671868.59</v>
      </c>
      <c r="D209" s="38">
        <v>777609.75</v>
      </c>
      <c r="E209" s="71">
        <v>-105741.16</v>
      </c>
      <c r="F209" s="72">
        <v>-1.9874000000000001</v>
      </c>
      <c r="G209" s="38">
        <v>722623.53</v>
      </c>
      <c r="H209" s="71">
        <v>-50754.94</v>
      </c>
      <c r="I209" s="73">
        <v>-1.2948999999999999</v>
      </c>
    </row>
    <row r="210" spans="1:9">
      <c r="A210" s="74" t="s">
        <v>74</v>
      </c>
      <c r="B210" s="75">
        <v>45748</v>
      </c>
      <c r="C210" s="40">
        <v>675917.63</v>
      </c>
      <c r="D210" s="40">
        <v>742645.27</v>
      </c>
      <c r="E210" s="76">
        <v>-66727.64</v>
      </c>
      <c r="F210" s="78">
        <v>-1.2541</v>
      </c>
      <c r="G210" s="40">
        <v>751686.76</v>
      </c>
      <c r="H210" s="76">
        <v>-75769.13</v>
      </c>
      <c r="I210" s="72">
        <v>-1.9331</v>
      </c>
    </row>
    <row r="211" spans="1:9">
      <c r="A211" s="69" t="s">
        <v>75</v>
      </c>
      <c r="B211" s="70">
        <v>45658</v>
      </c>
      <c r="C211" s="38">
        <v>810446.53</v>
      </c>
      <c r="D211" s="38">
        <v>807650.65</v>
      </c>
      <c r="E211" s="38">
        <v>2795.88</v>
      </c>
      <c r="F211" s="73">
        <v>5.2499999999999998E-2</v>
      </c>
      <c r="G211" s="38">
        <v>810317.54</v>
      </c>
      <c r="H211" s="38">
        <v>128.99</v>
      </c>
      <c r="I211" s="73">
        <v>3.3E-3</v>
      </c>
    </row>
    <row r="212" spans="1:9">
      <c r="A212" s="74" t="s">
        <v>75</v>
      </c>
      <c r="B212" s="75">
        <v>45689</v>
      </c>
      <c r="C212" s="40">
        <v>691288.19</v>
      </c>
      <c r="D212" s="40">
        <v>783853.4</v>
      </c>
      <c r="E212" s="76">
        <v>-92565.21</v>
      </c>
      <c r="F212" s="72">
        <v>-1.7397</v>
      </c>
      <c r="G212" s="40">
        <v>739989.13</v>
      </c>
      <c r="H212" s="76">
        <v>-48700.94</v>
      </c>
      <c r="I212" s="78">
        <v>-1.2424999999999999</v>
      </c>
    </row>
    <row r="213" spans="1:9">
      <c r="A213" s="69" t="s">
        <v>75</v>
      </c>
      <c r="B213" s="70">
        <v>45717</v>
      </c>
      <c r="C213" s="38">
        <v>946833.54</v>
      </c>
      <c r="D213" s="38">
        <v>905586.84</v>
      </c>
      <c r="E213" s="38">
        <v>41246.699999999997</v>
      </c>
      <c r="F213" s="73">
        <v>0.7752</v>
      </c>
      <c r="G213" s="38">
        <v>981030.98</v>
      </c>
      <c r="H213" s="71">
        <v>-34197.440000000002</v>
      </c>
      <c r="I213" s="73">
        <v>-0.87250000000000005</v>
      </c>
    </row>
    <row r="214" spans="1:9">
      <c r="A214" s="74" t="s">
        <v>75</v>
      </c>
      <c r="B214" s="75">
        <v>45748</v>
      </c>
      <c r="C214" s="40">
        <v>761963.23</v>
      </c>
      <c r="D214" s="40">
        <v>794342.74</v>
      </c>
      <c r="E214" s="76">
        <v>-32379.51</v>
      </c>
      <c r="F214" s="78">
        <v>-0.60860000000000003</v>
      </c>
      <c r="G214" s="40">
        <v>733446.08</v>
      </c>
      <c r="H214" s="40">
        <v>28517.15</v>
      </c>
      <c r="I214" s="78">
        <v>0.72750000000000004</v>
      </c>
    </row>
    <row r="215" spans="1:9">
      <c r="A215" s="69" t="s">
        <v>76</v>
      </c>
      <c r="B215" s="70">
        <v>45658</v>
      </c>
      <c r="C215" s="38">
        <v>812152.6</v>
      </c>
      <c r="D215" s="38">
        <v>785530.27</v>
      </c>
      <c r="E215" s="38">
        <v>26622.33</v>
      </c>
      <c r="F215" s="73">
        <v>0.50039999999999996</v>
      </c>
      <c r="G215" s="38">
        <v>791027.68</v>
      </c>
      <c r="H215" s="38">
        <v>21124.92</v>
      </c>
      <c r="I215" s="73">
        <v>0.53900000000000003</v>
      </c>
    </row>
    <row r="216" spans="1:9">
      <c r="A216" s="74" t="s">
        <v>76</v>
      </c>
      <c r="B216" s="75">
        <v>45689</v>
      </c>
      <c r="C216" s="40">
        <v>804975.5</v>
      </c>
      <c r="D216" s="40">
        <v>782212.21</v>
      </c>
      <c r="E216" s="40">
        <v>22763.29</v>
      </c>
      <c r="F216" s="78">
        <v>0.42780000000000001</v>
      </c>
      <c r="G216" s="40">
        <v>764297.31</v>
      </c>
      <c r="H216" s="40">
        <v>40678.19</v>
      </c>
      <c r="I216" s="78">
        <v>1.0378000000000001</v>
      </c>
    </row>
    <row r="217" spans="1:9">
      <c r="A217" s="69" t="s">
        <v>76</v>
      </c>
      <c r="B217" s="70">
        <v>45717</v>
      </c>
      <c r="C217" s="38">
        <v>752321.72</v>
      </c>
      <c r="D217" s="38">
        <v>790489.51</v>
      </c>
      <c r="E217" s="71">
        <v>-38167.79</v>
      </c>
      <c r="F217" s="73">
        <v>-0.71730000000000005</v>
      </c>
      <c r="G217" s="38">
        <v>768868.22</v>
      </c>
      <c r="H217" s="71">
        <v>-16546.5</v>
      </c>
      <c r="I217" s="73">
        <v>-0.42209999999999998</v>
      </c>
    </row>
    <row r="218" spans="1:9">
      <c r="A218" s="74" t="s">
        <v>76</v>
      </c>
      <c r="B218" s="75">
        <v>45748</v>
      </c>
      <c r="C218" s="40">
        <v>836908.24</v>
      </c>
      <c r="D218" s="40">
        <v>846860.80000000005</v>
      </c>
      <c r="E218" s="76">
        <v>-9952.56</v>
      </c>
      <c r="F218" s="78">
        <v>-0.18709999999999999</v>
      </c>
      <c r="G218" s="40">
        <v>836119.67</v>
      </c>
      <c r="H218" s="40">
        <v>788.57</v>
      </c>
      <c r="I218" s="78">
        <v>2.01E-2</v>
      </c>
    </row>
    <row r="219" spans="1:9">
      <c r="A219" s="69" t="s">
        <v>77</v>
      </c>
      <c r="B219" s="70">
        <v>45658</v>
      </c>
      <c r="C219" s="38">
        <v>674289.1</v>
      </c>
      <c r="D219" s="38">
        <v>638857.88</v>
      </c>
      <c r="E219" s="38">
        <v>35431.22</v>
      </c>
      <c r="F219" s="73">
        <v>0.66590000000000005</v>
      </c>
      <c r="G219" s="38">
        <v>648290.18000000005</v>
      </c>
      <c r="H219" s="38">
        <v>25998.92</v>
      </c>
      <c r="I219" s="73">
        <v>0.6633</v>
      </c>
    </row>
    <row r="220" spans="1:9">
      <c r="A220" s="74" t="s">
        <v>77</v>
      </c>
      <c r="B220" s="75">
        <v>45689</v>
      </c>
      <c r="C220" s="40">
        <v>622892.42000000004</v>
      </c>
      <c r="D220" s="40">
        <v>625300.23</v>
      </c>
      <c r="E220" s="76">
        <v>-2407.81</v>
      </c>
      <c r="F220" s="78">
        <v>-4.53E-2</v>
      </c>
      <c r="G220" s="40">
        <v>625945.41</v>
      </c>
      <c r="H220" s="76">
        <v>-3052.99</v>
      </c>
      <c r="I220" s="78">
        <v>-7.7899999999999997E-2</v>
      </c>
    </row>
    <row r="221" spans="1:9">
      <c r="A221" s="69" t="s">
        <v>77</v>
      </c>
      <c r="B221" s="70">
        <v>45717</v>
      </c>
      <c r="C221" s="38">
        <v>673348.56</v>
      </c>
      <c r="D221" s="38">
        <v>605784.35</v>
      </c>
      <c r="E221" s="38">
        <v>67564.210000000006</v>
      </c>
      <c r="F221" s="73">
        <v>1.2698</v>
      </c>
      <c r="G221" s="38">
        <v>646631.77</v>
      </c>
      <c r="H221" s="38">
        <v>26716.79</v>
      </c>
      <c r="I221" s="73">
        <v>0.68159999999999998</v>
      </c>
    </row>
    <row r="222" spans="1:9">
      <c r="A222" s="74" t="s">
        <v>77</v>
      </c>
      <c r="B222" s="75">
        <v>45748</v>
      </c>
      <c r="C222" s="40">
        <v>606278.30000000005</v>
      </c>
      <c r="D222" s="40">
        <v>613312.41</v>
      </c>
      <c r="E222" s="76">
        <v>-7034.11</v>
      </c>
      <c r="F222" s="78">
        <v>-0.13220000000000001</v>
      </c>
      <c r="G222" s="40">
        <v>608930.15</v>
      </c>
      <c r="H222" s="76">
        <v>-2651.85</v>
      </c>
      <c r="I222" s="78">
        <v>-6.7699999999999996E-2</v>
      </c>
    </row>
    <row r="223" spans="1:9">
      <c r="A223" s="69" t="s">
        <v>78</v>
      </c>
      <c r="B223" s="70">
        <v>45658</v>
      </c>
      <c r="C223" s="38">
        <v>712219.81</v>
      </c>
      <c r="D223" s="38">
        <v>706539.11</v>
      </c>
      <c r="E223" s="38">
        <v>5680.7</v>
      </c>
      <c r="F223" s="73">
        <v>0.10680000000000001</v>
      </c>
      <c r="G223" s="38">
        <v>701230.18</v>
      </c>
      <c r="H223" s="38">
        <v>10989.63</v>
      </c>
      <c r="I223" s="73">
        <v>0.28039999999999998</v>
      </c>
    </row>
    <row r="224" spans="1:9">
      <c r="A224" s="74" t="s">
        <v>78</v>
      </c>
      <c r="B224" s="75">
        <v>45689</v>
      </c>
      <c r="C224" s="40">
        <v>672670.54</v>
      </c>
      <c r="D224" s="40">
        <v>710570.72</v>
      </c>
      <c r="E224" s="76">
        <v>-37900.18</v>
      </c>
      <c r="F224" s="78">
        <v>-0.71230000000000004</v>
      </c>
      <c r="G224" s="40">
        <v>671363.29</v>
      </c>
      <c r="H224" s="40">
        <v>1307.25</v>
      </c>
      <c r="I224" s="78">
        <v>3.3399999999999999E-2</v>
      </c>
    </row>
    <row r="225" spans="1:9">
      <c r="A225" s="69" t="s">
        <v>78</v>
      </c>
      <c r="B225" s="70">
        <v>45717</v>
      </c>
      <c r="C225" s="38">
        <v>732667.92</v>
      </c>
      <c r="D225" s="38">
        <v>727553.47</v>
      </c>
      <c r="E225" s="38">
        <v>5114.45</v>
      </c>
      <c r="F225" s="73">
        <v>9.6100000000000005E-2</v>
      </c>
      <c r="G225" s="38">
        <v>722864.71</v>
      </c>
      <c r="H225" s="38">
        <v>9803.2099999999991</v>
      </c>
      <c r="I225" s="73">
        <v>0.25009999999999999</v>
      </c>
    </row>
    <row r="226" spans="1:9">
      <c r="A226" s="74" t="s">
        <v>78</v>
      </c>
      <c r="B226" s="75">
        <v>45748</v>
      </c>
      <c r="C226" s="40">
        <v>723531.4</v>
      </c>
      <c r="D226" s="40">
        <v>759413.95</v>
      </c>
      <c r="E226" s="76">
        <v>-35882.550000000003</v>
      </c>
      <c r="F226" s="78">
        <v>-0.6744</v>
      </c>
      <c r="G226" s="40">
        <v>743418.28</v>
      </c>
      <c r="H226" s="76">
        <v>-19886.88</v>
      </c>
      <c r="I226" s="78">
        <v>-0.50739999999999996</v>
      </c>
    </row>
    <row r="227" spans="1:9">
      <c r="A227" s="69" t="s">
        <v>79</v>
      </c>
      <c r="B227" s="70">
        <v>45658</v>
      </c>
      <c r="C227" s="38">
        <v>641564.6</v>
      </c>
      <c r="D227" s="38">
        <v>614561.14</v>
      </c>
      <c r="E227" s="38">
        <v>27003.46</v>
      </c>
      <c r="F227" s="73">
        <v>0.50749999999999995</v>
      </c>
      <c r="G227" s="38">
        <v>622119.07999999996</v>
      </c>
      <c r="H227" s="38">
        <v>19445.52</v>
      </c>
      <c r="I227" s="73">
        <v>0.49609999999999999</v>
      </c>
    </row>
    <row r="228" spans="1:9">
      <c r="A228" s="74" t="s">
        <v>79</v>
      </c>
      <c r="B228" s="75">
        <v>45689</v>
      </c>
      <c r="C228" s="40">
        <v>536545.49</v>
      </c>
      <c r="D228" s="40">
        <v>547807.55000000005</v>
      </c>
      <c r="E228" s="76">
        <v>-11262.06</v>
      </c>
      <c r="F228" s="78">
        <v>-0.2117</v>
      </c>
      <c r="G228" s="40">
        <v>519170.8</v>
      </c>
      <c r="H228" s="40">
        <v>17374.689999999999</v>
      </c>
      <c r="I228" s="78">
        <v>0.44330000000000003</v>
      </c>
    </row>
    <row r="229" spans="1:9">
      <c r="A229" s="69" t="s">
        <v>79</v>
      </c>
      <c r="B229" s="70">
        <v>45717</v>
      </c>
      <c r="C229" s="38">
        <v>527681.56000000006</v>
      </c>
      <c r="D229" s="38">
        <v>584555.92000000004</v>
      </c>
      <c r="E229" s="71">
        <v>-56874.36</v>
      </c>
      <c r="F229" s="73">
        <v>-1.0689</v>
      </c>
      <c r="G229" s="38">
        <v>509866.52</v>
      </c>
      <c r="H229" s="38">
        <v>17815.04</v>
      </c>
      <c r="I229" s="73">
        <v>0.45450000000000002</v>
      </c>
    </row>
    <row r="230" spans="1:9">
      <c r="A230" s="74" t="s">
        <v>79</v>
      </c>
      <c r="B230" s="75">
        <v>45748</v>
      </c>
      <c r="C230" s="40">
        <v>529598.93999999994</v>
      </c>
      <c r="D230" s="40">
        <v>495467.88</v>
      </c>
      <c r="E230" s="40">
        <v>34131.06</v>
      </c>
      <c r="F230" s="78">
        <v>0.64149999999999996</v>
      </c>
      <c r="G230" s="40">
        <v>495976.13</v>
      </c>
      <c r="H230" s="40">
        <v>33622.81</v>
      </c>
      <c r="I230" s="78">
        <v>0.85780000000000001</v>
      </c>
    </row>
    <row r="231" spans="1:9">
      <c r="A231" s="69" t="s">
        <v>80</v>
      </c>
      <c r="B231" s="70">
        <v>45658</v>
      </c>
      <c r="C231" s="38">
        <v>570963.31000000006</v>
      </c>
      <c r="D231" s="38">
        <v>658944.61</v>
      </c>
      <c r="E231" s="71">
        <v>-87981.3</v>
      </c>
      <c r="F231" s="72">
        <v>-1.6536</v>
      </c>
      <c r="G231" s="38">
        <v>618320.05000000005</v>
      </c>
      <c r="H231" s="71">
        <v>-47356.74</v>
      </c>
      <c r="I231" s="73">
        <v>-1.2081999999999999</v>
      </c>
    </row>
    <row r="232" spans="1:9">
      <c r="A232" s="74" t="s">
        <v>80</v>
      </c>
      <c r="B232" s="75">
        <v>45689</v>
      </c>
      <c r="C232" s="40">
        <v>870937.4</v>
      </c>
      <c r="D232" s="40">
        <v>766121.42</v>
      </c>
      <c r="E232" s="40">
        <v>104815.98</v>
      </c>
      <c r="F232" s="72">
        <v>1.97</v>
      </c>
      <c r="G232" s="40">
        <v>759857.12</v>
      </c>
      <c r="H232" s="40">
        <v>111080.28</v>
      </c>
      <c r="I232" s="77">
        <v>2.8338999999999999</v>
      </c>
    </row>
    <row r="233" spans="1:9">
      <c r="A233" s="69" t="s">
        <v>80</v>
      </c>
      <c r="B233" s="70">
        <v>45717</v>
      </c>
      <c r="C233" s="38">
        <v>596969.27</v>
      </c>
      <c r="D233" s="38">
        <v>679923.3</v>
      </c>
      <c r="E233" s="71">
        <v>-82954.03</v>
      </c>
      <c r="F233" s="72">
        <v>-1.5590999999999999</v>
      </c>
      <c r="G233" s="38">
        <v>625250.74</v>
      </c>
      <c r="H233" s="71">
        <v>-28281.47</v>
      </c>
      <c r="I233" s="73">
        <v>-0.72150000000000003</v>
      </c>
    </row>
    <row r="234" spans="1:9">
      <c r="A234" s="74" t="s">
        <v>80</v>
      </c>
      <c r="B234" s="75">
        <v>45748</v>
      </c>
      <c r="C234" s="40">
        <v>647512.85</v>
      </c>
      <c r="D234" s="40">
        <v>641105.6</v>
      </c>
      <c r="E234" s="40">
        <v>6407.25</v>
      </c>
      <c r="F234" s="78">
        <v>0.12039999999999999</v>
      </c>
      <c r="G234" s="40">
        <v>607703.78</v>
      </c>
      <c r="H234" s="40">
        <v>39809.07</v>
      </c>
      <c r="I234" s="78">
        <v>1.0156000000000001</v>
      </c>
    </row>
    <row r="235" spans="1:9">
      <c r="A235" s="69" t="s">
        <v>81</v>
      </c>
      <c r="B235" s="70">
        <v>45658</v>
      </c>
      <c r="C235" s="38">
        <v>658072.14</v>
      </c>
      <c r="D235" s="38">
        <v>598541.71</v>
      </c>
      <c r="E235" s="38">
        <v>59530.43</v>
      </c>
      <c r="F235" s="73">
        <v>1.1189</v>
      </c>
      <c r="G235" s="38">
        <v>626008.65</v>
      </c>
      <c r="H235" s="38">
        <v>32063.49</v>
      </c>
      <c r="I235" s="73">
        <v>0.81799999999999995</v>
      </c>
    </row>
    <row r="236" spans="1:9">
      <c r="A236" s="74" t="s">
        <v>81</v>
      </c>
      <c r="B236" s="75">
        <v>45689</v>
      </c>
      <c r="C236" s="40">
        <v>723305.11</v>
      </c>
      <c r="D236" s="40">
        <v>636253.39</v>
      </c>
      <c r="E236" s="40">
        <v>87051.72</v>
      </c>
      <c r="F236" s="72">
        <v>1.6361000000000001</v>
      </c>
      <c r="G236" s="40">
        <v>657244.41</v>
      </c>
      <c r="H236" s="40">
        <v>66060.7</v>
      </c>
      <c r="I236" s="72">
        <v>1.6854</v>
      </c>
    </row>
    <row r="237" spans="1:9">
      <c r="A237" s="69" t="s">
        <v>81</v>
      </c>
      <c r="B237" s="70">
        <v>45717</v>
      </c>
      <c r="C237" s="38">
        <v>640666.53</v>
      </c>
      <c r="D237" s="38">
        <v>641890.52</v>
      </c>
      <c r="E237" s="71">
        <v>-1223.99</v>
      </c>
      <c r="F237" s="73">
        <v>-2.3E-2</v>
      </c>
      <c r="G237" s="38">
        <v>646366.49</v>
      </c>
      <c r="H237" s="71">
        <v>-5699.96</v>
      </c>
      <c r="I237" s="73">
        <v>-0.1454</v>
      </c>
    </row>
    <row r="238" spans="1:9">
      <c r="A238" s="74" t="s">
        <v>81</v>
      </c>
      <c r="B238" s="75">
        <v>45748</v>
      </c>
      <c r="C238" s="40">
        <v>670629.48</v>
      </c>
      <c r="D238" s="40">
        <v>666508.36</v>
      </c>
      <c r="E238" s="40">
        <v>4121.12</v>
      </c>
      <c r="F238" s="78">
        <v>7.7499999999999999E-2</v>
      </c>
      <c r="G238" s="40">
        <v>671480.25</v>
      </c>
      <c r="H238" s="76">
        <v>-850.77</v>
      </c>
      <c r="I238" s="78">
        <v>-2.1700000000000001E-2</v>
      </c>
    </row>
    <row r="239" spans="1:9">
      <c r="A239" s="69" t="s">
        <v>82</v>
      </c>
      <c r="B239" s="70">
        <v>45658</v>
      </c>
      <c r="C239" s="38">
        <v>721079.35</v>
      </c>
      <c r="D239" s="38">
        <v>799908.51</v>
      </c>
      <c r="E239" s="71">
        <v>-78829.16</v>
      </c>
      <c r="F239" s="73">
        <v>-1.4816</v>
      </c>
      <c r="G239" s="38">
        <v>808047.8</v>
      </c>
      <c r="H239" s="71">
        <v>-86968.45</v>
      </c>
      <c r="I239" s="77">
        <v>-2.2187999999999999</v>
      </c>
    </row>
    <row r="240" spans="1:9">
      <c r="A240" s="74" t="s">
        <v>82</v>
      </c>
      <c r="B240" s="75">
        <v>45689</v>
      </c>
      <c r="C240" s="40">
        <v>810355.02</v>
      </c>
      <c r="D240" s="40">
        <v>803048.18</v>
      </c>
      <c r="E240" s="40">
        <v>7306.84</v>
      </c>
      <c r="F240" s="78">
        <v>0.13730000000000001</v>
      </c>
      <c r="G240" s="40">
        <v>795673.51</v>
      </c>
      <c r="H240" s="40">
        <v>14681.51</v>
      </c>
      <c r="I240" s="78">
        <v>0.37459999999999999</v>
      </c>
    </row>
    <row r="241" spans="1:9">
      <c r="A241" s="69" t="s">
        <v>82</v>
      </c>
      <c r="B241" s="70">
        <v>45717</v>
      </c>
      <c r="C241" s="38">
        <v>761919.25</v>
      </c>
      <c r="D241" s="38">
        <v>792558.84</v>
      </c>
      <c r="E241" s="71">
        <v>-30639.59</v>
      </c>
      <c r="F241" s="73">
        <v>-0.57589999999999997</v>
      </c>
      <c r="G241" s="38">
        <v>772773.83</v>
      </c>
      <c r="H241" s="71">
        <v>-10854.58</v>
      </c>
      <c r="I241" s="73">
        <v>-0.27689999999999998</v>
      </c>
    </row>
    <row r="242" spans="1:9">
      <c r="A242" s="74" t="s">
        <v>82</v>
      </c>
      <c r="B242" s="75">
        <v>45748</v>
      </c>
      <c r="C242" s="40">
        <v>737070.18</v>
      </c>
      <c r="D242" s="40">
        <v>778715.76</v>
      </c>
      <c r="E242" s="76">
        <v>-41645.58</v>
      </c>
      <c r="F242" s="78">
        <v>-0.78269999999999995</v>
      </c>
      <c r="G242" s="40">
        <v>733925.99</v>
      </c>
      <c r="H242" s="40">
        <v>3144.19</v>
      </c>
      <c r="I242" s="78">
        <v>8.0199999999999994E-2</v>
      </c>
    </row>
    <row r="243" spans="1:9">
      <c r="A243" s="69" t="s">
        <v>83</v>
      </c>
      <c r="B243" s="70">
        <v>45658</v>
      </c>
      <c r="C243" s="38">
        <v>776992.93</v>
      </c>
      <c r="D243" s="38">
        <v>733797.12</v>
      </c>
      <c r="E243" s="38">
        <v>43195.81</v>
      </c>
      <c r="F243" s="73">
        <v>0.81179999999999997</v>
      </c>
      <c r="G243" s="38">
        <v>754797.48</v>
      </c>
      <c r="H243" s="38">
        <v>22195.45</v>
      </c>
      <c r="I243" s="73">
        <v>0.56630000000000003</v>
      </c>
    </row>
    <row r="244" spans="1:9">
      <c r="A244" s="74" t="s">
        <v>83</v>
      </c>
      <c r="B244" s="75">
        <v>45689</v>
      </c>
      <c r="C244" s="40">
        <v>676337.41</v>
      </c>
      <c r="D244" s="40">
        <v>647920.1</v>
      </c>
      <c r="E244" s="40">
        <v>28417.31</v>
      </c>
      <c r="F244" s="78">
        <v>0.53410000000000002</v>
      </c>
      <c r="G244" s="40">
        <v>661835.29</v>
      </c>
      <c r="H244" s="40">
        <v>14502.12</v>
      </c>
      <c r="I244" s="78">
        <v>0.37</v>
      </c>
    </row>
    <row r="245" spans="1:9">
      <c r="A245" s="69" t="s">
        <v>83</v>
      </c>
      <c r="B245" s="70">
        <v>45717</v>
      </c>
      <c r="C245" s="38">
        <v>828219.67</v>
      </c>
      <c r="D245" s="38">
        <v>805902.42</v>
      </c>
      <c r="E245" s="38">
        <v>22317.25</v>
      </c>
      <c r="F245" s="73">
        <v>0.4194</v>
      </c>
      <c r="G245" s="38">
        <v>843506.59</v>
      </c>
      <c r="H245" s="71">
        <v>-15286.92</v>
      </c>
      <c r="I245" s="73">
        <v>-0.39</v>
      </c>
    </row>
    <row r="246" spans="1:9">
      <c r="A246" s="74" t="s">
        <v>83</v>
      </c>
      <c r="B246" s="75">
        <v>45748</v>
      </c>
      <c r="C246" s="40">
        <v>763159.92</v>
      </c>
      <c r="D246" s="40">
        <v>731977.54</v>
      </c>
      <c r="E246" s="40">
        <v>31182.38</v>
      </c>
      <c r="F246" s="78">
        <v>0.58609999999999995</v>
      </c>
      <c r="G246" s="40">
        <v>784116.72</v>
      </c>
      <c r="H246" s="76">
        <v>-20956.8</v>
      </c>
      <c r="I246" s="78">
        <v>-0.53469999999999995</v>
      </c>
    </row>
    <row r="247" spans="1:9">
      <c r="A247" s="69" t="s">
        <v>84</v>
      </c>
      <c r="B247" s="70">
        <v>45658</v>
      </c>
      <c r="C247" s="38">
        <v>802001.68</v>
      </c>
      <c r="D247" s="38">
        <v>765158.11</v>
      </c>
      <c r="E247" s="38">
        <v>36843.57</v>
      </c>
      <c r="F247" s="73">
        <v>0.6925</v>
      </c>
      <c r="G247" s="38">
        <v>781385.08</v>
      </c>
      <c r="H247" s="38">
        <v>20616.599999999999</v>
      </c>
      <c r="I247" s="73">
        <v>0.52600000000000002</v>
      </c>
    </row>
    <row r="248" spans="1:9">
      <c r="A248" s="74" t="s">
        <v>84</v>
      </c>
      <c r="B248" s="75">
        <v>45689</v>
      </c>
      <c r="C248" s="40">
        <v>750471.34</v>
      </c>
      <c r="D248" s="40">
        <v>757986.83</v>
      </c>
      <c r="E248" s="76">
        <v>-7515.49</v>
      </c>
      <c r="F248" s="78">
        <v>-0.14130000000000001</v>
      </c>
      <c r="G248" s="40">
        <v>744031.15</v>
      </c>
      <c r="H248" s="40">
        <v>6440.19</v>
      </c>
      <c r="I248" s="78">
        <v>0.1643</v>
      </c>
    </row>
    <row r="249" spans="1:9">
      <c r="A249" s="69" t="s">
        <v>84</v>
      </c>
      <c r="B249" s="70">
        <v>45717</v>
      </c>
      <c r="C249" s="38">
        <v>679230.86</v>
      </c>
      <c r="D249" s="38">
        <v>709500.38</v>
      </c>
      <c r="E249" s="71">
        <v>-30269.52</v>
      </c>
      <c r="F249" s="73">
        <v>-0.56889999999999996</v>
      </c>
      <c r="G249" s="38">
        <v>717224.23</v>
      </c>
      <c r="H249" s="71">
        <v>-37993.370000000003</v>
      </c>
      <c r="I249" s="73">
        <v>-0.96930000000000005</v>
      </c>
    </row>
    <row r="250" spans="1:9">
      <c r="A250" s="74" t="s">
        <v>84</v>
      </c>
      <c r="B250" s="75">
        <v>45748</v>
      </c>
      <c r="C250" s="40">
        <v>679888.74</v>
      </c>
      <c r="D250" s="40">
        <v>736080.52</v>
      </c>
      <c r="E250" s="76">
        <v>-56191.78</v>
      </c>
      <c r="F250" s="78">
        <v>-1.0561</v>
      </c>
      <c r="G250" s="40">
        <v>683012.52</v>
      </c>
      <c r="H250" s="76">
        <v>-3123.78</v>
      </c>
      <c r="I250" s="78">
        <v>-7.9699999999999993E-2</v>
      </c>
    </row>
    <row r="251" spans="1:9">
      <c r="A251" s="69" t="s">
        <v>85</v>
      </c>
      <c r="B251" s="70">
        <v>45658</v>
      </c>
      <c r="C251" s="38">
        <v>606783.67000000004</v>
      </c>
      <c r="D251" s="38">
        <v>584662.94999999995</v>
      </c>
      <c r="E251" s="38">
        <v>22120.720000000001</v>
      </c>
      <c r="F251" s="73">
        <v>0.4158</v>
      </c>
      <c r="G251" s="38">
        <v>586385.79</v>
      </c>
      <c r="H251" s="38">
        <v>20397.88</v>
      </c>
      <c r="I251" s="73">
        <v>0.52039999999999997</v>
      </c>
    </row>
    <row r="252" spans="1:9">
      <c r="A252" s="74" t="s">
        <v>85</v>
      </c>
      <c r="B252" s="75">
        <v>45689</v>
      </c>
      <c r="C252" s="40">
        <v>642751.42000000004</v>
      </c>
      <c r="D252" s="40">
        <v>652094.43000000005</v>
      </c>
      <c r="E252" s="76">
        <v>-9343.01</v>
      </c>
      <c r="F252" s="78">
        <v>-0.17560000000000001</v>
      </c>
      <c r="G252" s="40">
        <v>654234.53</v>
      </c>
      <c r="H252" s="76">
        <v>-11483.11</v>
      </c>
      <c r="I252" s="78">
        <v>-0.29299999999999998</v>
      </c>
    </row>
    <row r="253" spans="1:9">
      <c r="A253" s="69" t="s">
        <v>85</v>
      </c>
      <c r="B253" s="70">
        <v>45717</v>
      </c>
      <c r="C253" s="38">
        <v>647953.78</v>
      </c>
      <c r="D253" s="38">
        <v>671967.1</v>
      </c>
      <c r="E253" s="71">
        <v>-24013.32</v>
      </c>
      <c r="F253" s="73">
        <v>-0.45129999999999998</v>
      </c>
      <c r="G253" s="38">
        <v>650258.76</v>
      </c>
      <c r="H253" s="71">
        <v>-2304.98</v>
      </c>
      <c r="I253" s="73">
        <v>-5.8799999999999998E-2</v>
      </c>
    </row>
    <row r="254" spans="1:9">
      <c r="A254" s="74" t="s">
        <v>85</v>
      </c>
      <c r="B254" s="75">
        <v>45748</v>
      </c>
      <c r="C254" s="40">
        <v>729440.45</v>
      </c>
      <c r="D254" s="40">
        <v>690448.32</v>
      </c>
      <c r="E254" s="40">
        <v>38992.129999999997</v>
      </c>
      <c r="F254" s="78">
        <v>0.73280000000000001</v>
      </c>
      <c r="G254" s="40">
        <v>710845.04</v>
      </c>
      <c r="H254" s="40">
        <v>18595.41</v>
      </c>
      <c r="I254" s="78">
        <v>0.47439999999999999</v>
      </c>
    </row>
    <row r="255" spans="1:9">
      <c r="A255" s="69" t="s">
        <v>86</v>
      </c>
      <c r="B255" s="70">
        <v>45658</v>
      </c>
      <c r="C255" s="38">
        <v>764949</v>
      </c>
      <c r="D255" s="38">
        <v>688378.99</v>
      </c>
      <c r="E255" s="38">
        <v>76570.009999999995</v>
      </c>
      <c r="F255" s="73">
        <v>1.4391</v>
      </c>
      <c r="G255" s="38">
        <v>762467.2</v>
      </c>
      <c r="H255" s="38">
        <v>2481.8000000000002</v>
      </c>
      <c r="I255" s="73">
        <v>6.3299999999999995E-2</v>
      </c>
    </row>
    <row r="256" spans="1:9">
      <c r="A256" s="74" t="s">
        <v>86</v>
      </c>
      <c r="B256" s="75">
        <v>45689</v>
      </c>
      <c r="C256" s="40">
        <v>799046.94</v>
      </c>
      <c r="D256" s="40">
        <v>691019.16</v>
      </c>
      <c r="E256" s="40">
        <v>108027.78</v>
      </c>
      <c r="F256" s="77">
        <v>2.0303</v>
      </c>
      <c r="G256" s="40">
        <v>723681.49</v>
      </c>
      <c r="H256" s="40">
        <v>75365.45</v>
      </c>
      <c r="I256" s="72">
        <v>1.9228000000000001</v>
      </c>
    </row>
    <row r="257" spans="1:9">
      <c r="A257" s="69" t="s">
        <v>86</v>
      </c>
      <c r="B257" s="70">
        <v>45717</v>
      </c>
      <c r="C257" s="38">
        <v>720079.54</v>
      </c>
      <c r="D257" s="38">
        <v>647670.36</v>
      </c>
      <c r="E257" s="38">
        <v>72409.179999999993</v>
      </c>
      <c r="F257" s="73">
        <v>1.3609</v>
      </c>
      <c r="G257" s="38">
        <v>707355.02</v>
      </c>
      <c r="H257" s="38">
        <v>12724.52</v>
      </c>
      <c r="I257" s="73">
        <v>0.3246</v>
      </c>
    </row>
    <row r="258" spans="1:9">
      <c r="A258" s="74" t="s">
        <v>86</v>
      </c>
      <c r="B258" s="75">
        <v>45748</v>
      </c>
      <c r="C258" s="40">
        <v>612390.14</v>
      </c>
      <c r="D258" s="40">
        <v>652879.35</v>
      </c>
      <c r="E258" s="76">
        <v>-40489.21</v>
      </c>
      <c r="F258" s="78">
        <v>-0.76100000000000001</v>
      </c>
      <c r="G258" s="40">
        <v>676372.72</v>
      </c>
      <c r="H258" s="76">
        <v>-63982.58</v>
      </c>
      <c r="I258" s="72">
        <v>-1.6324000000000001</v>
      </c>
    </row>
    <row r="259" spans="1:9">
      <c r="A259" s="69" t="s">
        <v>87</v>
      </c>
      <c r="B259" s="70">
        <v>45658</v>
      </c>
      <c r="C259" s="38">
        <v>840108.12</v>
      </c>
      <c r="D259" s="38">
        <v>737721.71</v>
      </c>
      <c r="E259" s="38">
        <v>102386.41</v>
      </c>
      <c r="F259" s="72">
        <v>1.9242999999999999</v>
      </c>
      <c r="G259" s="38">
        <v>795709.83</v>
      </c>
      <c r="H259" s="38">
        <v>44398.29</v>
      </c>
      <c r="I259" s="73">
        <v>1.1327</v>
      </c>
    </row>
    <row r="260" spans="1:9">
      <c r="A260" s="74" t="s">
        <v>87</v>
      </c>
      <c r="B260" s="75">
        <v>45689</v>
      </c>
      <c r="C260" s="40">
        <v>697888.09</v>
      </c>
      <c r="D260" s="40">
        <v>716635.99</v>
      </c>
      <c r="E260" s="76">
        <v>-18747.900000000001</v>
      </c>
      <c r="F260" s="78">
        <v>-0.35239999999999999</v>
      </c>
      <c r="G260" s="40">
        <v>700474.77</v>
      </c>
      <c r="H260" s="76">
        <v>-2586.6799999999998</v>
      </c>
      <c r="I260" s="78">
        <v>-6.6000000000000003E-2</v>
      </c>
    </row>
    <row r="261" spans="1:9">
      <c r="A261" s="69" t="s">
        <v>87</v>
      </c>
      <c r="B261" s="70">
        <v>45717</v>
      </c>
      <c r="C261" s="38">
        <v>746115.59</v>
      </c>
      <c r="D261" s="38">
        <v>754454.7</v>
      </c>
      <c r="E261" s="71">
        <v>-8339.11</v>
      </c>
      <c r="F261" s="73">
        <v>-0.15670000000000001</v>
      </c>
      <c r="G261" s="38">
        <v>755978.97</v>
      </c>
      <c r="H261" s="71">
        <v>-9863.3799999999992</v>
      </c>
      <c r="I261" s="73">
        <v>-0.25159999999999999</v>
      </c>
    </row>
    <row r="262" spans="1:9">
      <c r="A262" s="74" t="s">
        <v>87</v>
      </c>
      <c r="B262" s="75">
        <v>45748</v>
      </c>
      <c r="C262" s="40">
        <v>776110.32</v>
      </c>
      <c r="D262" s="40">
        <v>725983.63</v>
      </c>
      <c r="E262" s="40">
        <v>50126.69</v>
      </c>
      <c r="F262" s="78">
        <v>0.94210000000000005</v>
      </c>
      <c r="G262" s="40">
        <v>750756.2</v>
      </c>
      <c r="H262" s="40">
        <v>25354.12</v>
      </c>
      <c r="I262" s="78">
        <v>0.64690000000000003</v>
      </c>
    </row>
    <row r="263" spans="1:9">
      <c r="A263" s="69" t="s">
        <v>88</v>
      </c>
      <c r="B263" s="70">
        <v>45658</v>
      </c>
      <c r="C263" s="38">
        <v>528852.62</v>
      </c>
      <c r="D263" s="38">
        <v>555121.54</v>
      </c>
      <c r="E263" s="71">
        <v>-26268.92</v>
      </c>
      <c r="F263" s="73">
        <v>-0.49370000000000003</v>
      </c>
      <c r="G263" s="38">
        <v>523766.8</v>
      </c>
      <c r="H263" s="38">
        <v>5085.82</v>
      </c>
      <c r="I263" s="73">
        <v>0.1298</v>
      </c>
    </row>
    <row r="264" spans="1:9">
      <c r="A264" s="74" t="s">
        <v>88</v>
      </c>
      <c r="B264" s="75">
        <v>45689</v>
      </c>
      <c r="C264" s="40">
        <v>605751.32999999996</v>
      </c>
      <c r="D264" s="40">
        <v>617058.61</v>
      </c>
      <c r="E264" s="76">
        <v>-11307.28</v>
      </c>
      <c r="F264" s="78">
        <v>-0.21249999999999999</v>
      </c>
      <c r="G264" s="40">
        <v>617155.48</v>
      </c>
      <c r="H264" s="76">
        <v>-11404.15</v>
      </c>
      <c r="I264" s="78">
        <v>-0.29089999999999999</v>
      </c>
    </row>
    <row r="265" spans="1:9">
      <c r="A265" s="69" t="s">
        <v>88</v>
      </c>
      <c r="B265" s="70">
        <v>45717</v>
      </c>
      <c r="C265" s="38">
        <v>677640.65</v>
      </c>
      <c r="D265" s="38">
        <v>621304.29</v>
      </c>
      <c r="E265" s="38">
        <v>56336.36</v>
      </c>
      <c r="F265" s="73">
        <v>1.0588</v>
      </c>
      <c r="G265" s="38">
        <v>618625.68999999994</v>
      </c>
      <c r="H265" s="38">
        <v>59014.96</v>
      </c>
      <c r="I265" s="72">
        <v>1.5056</v>
      </c>
    </row>
    <row r="266" spans="1:9">
      <c r="A266" s="74" t="s">
        <v>88</v>
      </c>
      <c r="B266" s="75">
        <v>45748</v>
      </c>
      <c r="C266" s="40">
        <v>636613.23</v>
      </c>
      <c r="D266" s="40">
        <v>589907.62</v>
      </c>
      <c r="E266" s="40">
        <v>46705.61</v>
      </c>
      <c r="F266" s="78">
        <v>0.87780000000000002</v>
      </c>
      <c r="G266" s="40">
        <v>594286.42000000004</v>
      </c>
      <c r="H266" s="40">
        <v>42326.81</v>
      </c>
      <c r="I266" s="78">
        <v>1.0799000000000001</v>
      </c>
    </row>
    <row r="267" spans="1:9">
      <c r="A267" s="69" t="s">
        <v>89</v>
      </c>
      <c r="B267" s="70">
        <v>45658</v>
      </c>
      <c r="C267" s="38">
        <v>708985.19</v>
      </c>
      <c r="D267" s="38">
        <v>707716.48</v>
      </c>
      <c r="E267" s="38">
        <v>1268.71</v>
      </c>
      <c r="F267" s="73">
        <v>2.3800000000000002E-2</v>
      </c>
      <c r="G267" s="38">
        <v>717631.81</v>
      </c>
      <c r="H267" s="71">
        <v>-8646.6200000000008</v>
      </c>
      <c r="I267" s="73">
        <v>-0.22059999999999999</v>
      </c>
    </row>
    <row r="268" spans="1:9">
      <c r="A268" s="74" t="s">
        <v>89</v>
      </c>
      <c r="B268" s="75">
        <v>45689</v>
      </c>
      <c r="C268" s="40">
        <v>767792.94</v>
      </c>
      <c r="D268" s="40">
        <v>736437.3</v>
      </c>
      <c r="E268" s="40">
        <v>31355.64</v>
      </c>
      <c r="F268" s="78">
        <v>0.58930000000000005</v>
      </c>
      <c r="G268" s="40">
        <v>738585.7</v>
      </c>
      <c r="H268" s="40">
        <v>29207.24</v>
      </c>
      <c r="I268" s="78">
        <v>0.74519999999999997</v>
      </c>
    </row>
    <row r="269" spans="1:9">
      <c r="A269" s="69" t="s">
        <v>89</v>
      </c>
      <c r="B269" s="70">
        <v>45717</v>
      </c>
      <c r="C269" s="38">
        <v>745580.51</v>
      </c>
      <c r="D269" s="38">
        <v>730728.81</v>
      </c>
      <c r="E269" s="38">
        <v>14851.7</v>
      </c>
      <c r="F269" s="73">
        <v>0.27910000000000001</v>
      </c>
      <c r="G269" s="38">
        <v>723810.42</v>
      </c>
      <c r="H269" s="38">
        <v>21770.09</v>
      </c>
      <c r="I269" s="73">
        <v>0.5554</v>
      </c>
    </row>
    <row r="270" spans="1:9">
      <c r="A270" s="74" t="s">
        <v>89</v>
      </c>
      <c r="B270" s="75">
        <v>45748</v>
      </c>
      <c r="C270" s="40">
        <v>762328.31</v>
      </c>
      <c r="D270" s="40">
        <v>704719.53</v>
      </c>
      <c r="E270" s="40">
        <v>57608.78</v>
      </c>
      <c r="F270" s="78">
        <v>1.0827</v>
      </c>
      <c r="G270" s="40">
        <v>720555.07</v>
      </c>
      <c r="H270" s="40">
        <v>41773.24</v>
      </c>
      <c r="I270" s="78">
        <v>1.0657000000000001</v>
      </c>
    </row>
    <row r="271" spans="1:9">
      <c r="A271" s="69" t="s">
        <v>90</v>
      </c>
      <c r="B271" s="70">
        <v>45658</v>
      </c>
      <c r="C271" s="38">
        <v>660633.99</v>
      </c>
      <c r="D271" s="38">
        <v>733690.09</v>
      </c>
      <c r="E271" s="71">
        <v>-73056.100000000006</v>
      </c>
      <c r="F271" s="73">
        <v>-1.3731</v>
      </c>
      <c r="G271" s="38">
        <v>738744.17</v>
      </c>
      <c r="H271" s="71">
        <v>-78110.179999999993</v>
      </c>
      <c r="I271" s="72">
        <v>-1.9927999999999999</v>
      </c>
    </row>
    <row r="272" spans="1:9">
      <c r="A272" s="74" t="s">
        <v>90</v>
      </c>
      <c r="B272" s="75">
        <v>45689</v>
      </c>
      <c r="C272" s="40">
        <v>739374.56</v>
      </c>
      <c r="D272" s="40">
        <v>732477.04</v>
      </c>
      <c r="E272" s="40">
        <v>6897.52</v>
      </c>
      <c r="F272" s="78">
        <v>0.12959999999999999</v>
      </c>
      <c r="G272" s="40">
        <v>702711.74</v>
      </c>
      <c r="H272" s="40">
        <v>36662.82</v>
      </c>
      <c r="I272" s="78">
        <v>0.93540000000000001</v>
      </c>
    </row>
    <row r="273" spans="1:9">
      <c r="A273" s="69" t="s">
        <v>90</v>
      </c>
      <c r="B273" s="70">
        <v>45717</v>
      </c>
      <c r="C273" s="38">
        <v>799756.46</v>
      </c>
      <c r="D273" s="38">
        <v>810041.08</v>
      </c>
      <c r="E273" s="71">
        <v>-10284.620000000001</v>
      </c>
      <c r="F273" s="73">
        <v>-0.1933</v>
      </c>
      <c r="G273" s="38">
        <v>812082.52</v>
      </c>
      <c r="H273" s="71">
        <v>-12326.06</v>
      </c>
      <c r="I273" s="73">
        <v>-0.3145</v>
      </c>
    </row>
    <row r="274" spans="1:9">
      <c r="A274" s="74" t="s">
        <v>90</v>
      </c>
      <c r="B274" s="75">
        <v>45748</v>
      </c>
      <c r="C274" s="40">
        <v>593343</v>
      </c>
      <c r="D274" s="40">
        <v>712069.2</v>
      </c>
      <c r="E274" s="76">
        <v>-118726.2</v>
      </c>
      <c r="F274" s="77">
        <v>-2.2313999999999998</v>
      </c>
      <c r="G274" s="40">
        <v>664960.55000000005</v>
      </c>
      <c r="H274" s="76">
        <v>-71617.55</v>
      </c>
      <c r="I274" s="72">
        <v>-1.8271999999999999</v>
      </c>
    </row>
    <row r="275" spans="1:9">
      <c r="A275" s="69" t="s">
        <v>91</v>
      </c>
      <c r="B275" s="70">
        <v>45658</v>
      </c>
      <c r="C275" s="38">
        <v>645039.97</v>
      </c>
      <c r="D275" s="38">
        <v>649382.9</v>
      </c>
      <c r="E275" s="71">
        <v>-4342.93</v>
      </c>
      <c r="F275" s="73">
        <v>-8.1600000000000006E-2</v>
      </c>
      <c r="G275" s="38">
        <v>643386.98</v>
      </c>
      <c r="H275" s="38">
        <v>1652.99</v>
      </c>
      <c r="I275" s="73">
        <v>4.2200000000000001E-2</v>
      </c>
    </row>
    <row r="276" spans="1:9">
      <c r="A276" s="74" t="s">
        <v>91</v>
      </c>
      <c r="B276" s="75">
        <v>45689</v>
      </c>
      <c r="C276" s="40">
        <v>561597.32999999996</v>
      </c>
      <c r="D276" s="40">
        <v>565075.71</v>
      </c>
      <c r="E276" s="76">
        <v>-3478.38</v>
      </c>
      <c r="F276" s="78">
        <v>-6.54E-2</v>
      </c>
      <c r="G276" s="40">
        <v>547273.85</v>
      </c>
      <c r="H276" s="40">
        <v>14323.48</v>
      </c>
      <c r="I276" s="78">
        <v>0.3654</v>
      </c>
    </row>
    <row r="277" spans="1:9">
      <c r="A277" s="69" t="s">
        <v>91</v>
      </c>
      <c r="B277" s="70">
        <v>45717</v>
      </c>
      <c r="C277" s="38">
        <v>635837.74</v>
      </c>
      <c r="D277" s="38">
        <v>652165.79</v>
      </c>
      <c r="E277" s="71">
        <v>-16328.05</v>
      </c>
      <c r="F277" s="73">
        <v>-0.30690000000000001</v>
      </c>
      <c r="G277" s="38">
        <v>664132.52</v>
      </c>
      <c r="H277" s="71">
        <v>-28294.78</v>
      </c>
      <c r="I277" s="73">
        <v>-0.72189999999999999</v>
      </c>
    </row>
    <row r="278" spans="1:9">
      <c r="A278" s="74" t="s">
        <v>91</v>
      </c>
      <c r="B278" s="75">
        <v>45748</v>
      </c>
      <c r="C278" s="40">
        <v>686737.87</v>
      </c>
      <c r="D278" s="40">
        <v>656661.22</v>
      </c>
      <c r="E278" s="40">
        <v>30076.65</v>
      </c>
      <c r="F278" s="78">
        <v>0.56530000000000002</v>
      </c>
      <c r="G278" s="40">
        <v>613033.25</v>
      </c>
      <c r="H278" s="40">
        <v>73704.62</v>
      </c>
      <c r="I278" s="72">
        <v>1.8804000000000001</v>
      </c>
    </row>
    <row r="279" spans="1:9">
      <c r="A279" s="69" t="s">
        <v>92</v>
      </c>
      <c r="B279" s="70">
        <v>45658</v>
      </c>
      <c r="C279" s="38">
        <v>673076.34</v>
      </c>
      <c r="D279" s="38">
        <v>751957.24</v>
      </c>
      <c r="E279" s="71">
        <v>-78880.899999999994</v>
      </c>
      <c r="F279" s="73">
        <v>-1.4824999999999999</v>
      </c>
      <c r="G279" s="38">
        <v>688845.11</v>
      </c>
      <c r="H279" s="71">
        <v>-15768.77</v>
      </c>
      <c r="I279" s="73">
        <v>-0.40229999999999999</v>
      </c>
    </row>
    <row r="280" spans="1:9">
      <c r="A280" s="74" t="s">
        <v>92</v>
      </c>
      <c r="B280" s="75">
        <v>45689</v>
      </c>
      <c r="C280" s="40">
        <v>738548.42</v>
      </c>
      <c r="D280" s="40">
        <v>731870.51</v>
      </c>
      <c r="E280" s="40">
        <v>6677.91</v>
      </c>
      <c r="F280" s="78">
        <v>0.1255</v>
      </c>
      <c r="G280" s="40">
        <v>702582.1</v>
      </c>
      <c r="H280" s="40">
        <v>35966.32</v>
      </c>
      <c r="I280" s="78">
        <v>0.91759999999999997</v>
      </c>
    </row>
    <row r="281" spans="1:9">
      <c r="A281" s="69" t="s">
        <v>92</v>
      </c>
      <c r="B281" s="70">
        <v>45717</v>
      </c>
      <c r="C281" s="38">
        <v>756619.77</v>
      </c>
      <c r="D281" s="38">
        <v>779072.54</v>
      </c>
      <c r="E281" s="71">
        <v>-22452.77</v>
      </c>
      <c r="F281" s="73">
        <v>-0.42199999999999999</v>
      </c>
      <c r="G281" s="38">
        <v>739424.19</v>
      </c>
      <c r="H281" s="38">
        <v>17195.580000000002</v>
      </c>
      <c r="I281" s="73">
        <v>0.43869999999999998</v>
      </c>
    </row>
    <row r="282" spans="1:9">
      <c r="A282" s="74" t="s">
        <v>92</v>
      </c>
      <c r="B282" s="75">
        <v>45748</v>
      </c>
      <c r="C282" s="40">
        <v>761122.42</v>
      </c>
      <c r="D282" s="40">
        <v>771401.77</v>
      </c>
      <c r="E282" s="76">
        <v>-10279.35</v>
      </c>
      <c r="F282" s="78">
        <v>-0.19320000000000001</v>
      </c>
      <c r="G282" s="40">
        <v>777414.49</v>
      </c>
      <c r="H282" s="76">
        <v>-16292.07</v>
      </c>
      <c r="I282" s="78">
        <v>-0.41570000000000001</v>
      </c>
    </row>
    <row r="283" spans="1:9">
      <c r="A283" s="69" t="s">
        <v>93</v>
      </c>
      <c r="B283" s="70">
        <v>45658</v>
      </c>
      <c r="C283" s="38">
        <v>524899.56999999995</v>
      </c>
      <c r="D283" s="38">
        <v>589907.62</v>
      </c>
      <c r="E283" s="71">
        <v>-65008.05</v>
      </c>
      <c r="F283" s="73">
        <v>-1.2218</v>
      </c>
      <c r="G283" s="38">
        <v>593376.03</v>
      </c>
      <c r="H283" s="71">
        <v>-68476.460000000006</v>
      </c>
      <c r="I283" s="72">
        <v>-1.7470000000000001</v>
      </c>
    </row>
    <row r="284" spans="1:9">
      <c r="A284" s="74" t="s">
        <v>93</v>
      </c>
      <c r="B284" s="75">
        <v>45689</v>
      </c>
      <c r="C284" s="40">
        <v>555557.77</v>
      </c>
      <c r="D284" s="40">
        <v>601788.41</v>
      </c>
      <c r="E284" s="76">
        <v>-46230.64</v>
      </c>
      <c r="F284" s="78">
        <v>-0.86890000000000001</v>
      </c>
      <c r="G284" s="40">
        <v>603143.18000000005</v>
      </c>
      <c r="H284" s="76">
        <v>-47585.41</v>
      </c>
      <c r="I284" s="78">
        <v>-1.214</v>
      </c>
    </row>
    <row r="285" spans="1:9">
      <c r="A285" s="69" t="s">
        <v>93</v>
      </c>
      <c r="B285" s="70">
        <v>45717</v>
      </c>
      <c r="C285" s="38">
        <v>714083.68</v>
      </c>
      <c r="D285" s="38">
        <v>651380.87</v>
      </c>
      <c r="E285" s="38">
        <v>62702.81</v>
      </c>
      <c r="F285" s="73">
        <v>1.1785000000000001</v>
      </c>
      <c r="G285" s="38">
        <v>709256.6</v>
      </c>
      <c r="H285" s="38">
        <v>4827.08</v>
      </c>
      <c r="I285" s="73">
        <v>0.1232</v>
      </c>
    </row>
    <row r="286" spans="1:9">
      <c r="A286" s="74" t="s">
        <v>93</v>
      </c>
      <c r="B286" s="75">
        <v>45748</v>
      </c>
      <c r="C286" s="40">
        <v>497439.82</v>
      </c>
      <c r="D286" s="40">
        <v>554407.98</v>
      </c>
      <c r="E286" s="76">
        <v>-56968.160000000003</v>
      </c>
      <c r="F286" s="78">
        <v>-1.0707</v>
      </c>
      <c r="G286" s="40">
        <v>499820</v>
      </c>
      <c r="H286" s="76">
        <v>-2380.1799999999998</v>
      </c>
      <c r="I286" s="78">
        <v>-6.0699999999999997E-2</v>
      </c>
    </row>
    <row r="287" spans="1:9">
      <c r="A287" s="69" t="s">
        <v>94</v>
      </c>
      <c r="B287" s="70">
        <v>45658</v>
      </c>
      <c r="C287" s="38">
        <v>636775.66</v>
      </c>
      <c r="D287" s="38">
        <v>644851.79</v>
      </c>
      <c r="E287" s="71">
        <v>-8076.13</v>
      </c>
      <c r="F287" s="73">
        <v>-0.15179999999999999</v>
      </c>
      <c r="G287" s="38">
        <v>671952.52</v>
      </c>
      <c r="H287" s="71">
        <v>-35176.86</v>
      </c>
      <c r="I287" s="73">
        <v>-0.89749999999999996</v>
      </c>
    </row>
    <row r="288" spans="1:9">
      <c r="A288" s="74" t="s">
        <v>94</v>
      </c>
      <c r="B288" s="75">
        <v>45689</v>
      </c>
      <c r="C288" s="40">
        <v>633009.53</v>
      </c>
      <c r="D288" s="40">
        <v>606497.91</v>
      </c>
      <c r="E288" s="40">
        <v>26511.62</v>
      </c>
      <c r="F288" s="78">
        <v>0.49830000000000002</v>
      </c>
      <c r="G288" s="40">
        <v>640014.02</v>
      </c>
      <c r="H288" s="76">
        <v>-7004.49</v>
      </c>
      <c r="I288" s="78">
        <v>-0.1787</v>
      </c>
    </row>
    <row r="289" spans="1:9">
      <c r="A289" s="69" t="s">
        <v>94</v>
      </c>
      <c r="B289" s="70">
        <v>45717</v>
      </c>
      <c r="C289" s="38">
        <v>609949</v>
      </c>
      <c r="D289" s="38">
        <v>594902.55000000005</v>
      </c>
      <c r="E289" s="38">
        <v>15046.45</v>
      </c>
      <c r="F289" s="73">
        <v>0.2828</v>
      </c>
      <c r="G289" s="38">
        <v>627432.80000000005</v>
      </c>
      <c r="H289" s="71">
        <v>-17483.8</v>
      </c>
      <c r="I289" s="73">
        <v>-0.4461</v>
      </c>
    </row>
    <row r="290" spans="1:9">
      <c r="A290" s="74" t="s">
        <v>94</v>
      </c>
      <c r="B290" s="75">
        <v>45748</v>
      </c>
      <c r="C290" s="40">
        <v>548103.69999999995</v>
      </c>
      <c r="D290" s="40">
        <v>592476.43999999994</v>
      </c>
      <c r="E290" s="76">
        <v>-44372.74</v>
      </c>
      <c r="F290" s="78">
        <v>-0.83399999999999996</v>
      </c>
      <c r="G290" s="40">
        <v>574312.39</v>
      </c>
      <c r="H290" s="76">
        <v>-26208.69</v>
      </c>
      <c r="I290" s="78">
        <v>-0.66869999999999996</v>
      </c>
    </row>
    <row r="291" spans="1:9">
      <c r="A291" s="69" t="s">
        <v>95</v>
      </c>
      <c r="B291" s="70">
        <v>45658</v>
      </c>
      <c r="C291" s="38">
        <v>729424.42</v>
      </c>
      <c r="D291" s="38">
        <v>749103</v>
      </c>
      <c r="E291" s="71">
        <v>-19678.580000000002</v>
      </c>
      <c r="F291" s="73">
        <v>-0.36990000000000001</v>
      </c>
      <c r="G291" s="38">
        <v>685730.03</v>
      </c>
      <c r="H291" s="38">
        <v>43694.39</v>
      </c>
      <c r="I291" s="73">
        <v>1.1148</v>
      </c>
    </row>
    <row r="292" spans="1:9">
      <c r="A292" s="74" t="s">
        <v>95</v>
      </c>
      <c r="B292" s="75">
        <v>45689</v>
      </c>
      <c r="C292" s="40">
        <v>696261.49</v>
      </c>
      <c r="D292" s="40">
        <v>724485.16</v>
      </c>
      <c r="E292" s="76">
        <v>-28223.67</v>
      </c>
      <c r="F292" s="78">
        <v>-0.53049999999999997</v>
      </c>
      <c r="G292" s="40">
        <v>724929.97</v>
      </c>
      <c r="H292" s="76">
        <v>-28668.48</v>
      </c>
      <c r="I292" s="78">
        <v>-0.73140000000000005</v>
      </c>
    </row>
    <row r="293" spans="1:9">
      <c r="A293" s="69" t="s">
        <v>95</v>
      </c>
      <c r="B293" s="70">
        <v>45717</v>
      </c>
      <c r="C293" s="38">
        <v>813316.71</v>
      </c>
      <c r="D293" s="38">
        <v>742538.23999999999</v>
      </c>
      <c r="E293" s="38">
        <v>70778.47</v>
      </c>
      <c r="F293" s="73">
        <v>1.3303</v>
      </c>
      <c r="G293" s="38">
        <v>721349.69</v>
      </c>
      <c r="H293" s="38">
        <v>91967.02</v>
      </c>
      <c r="I293" s="77">
        <v>2.3462999999999998</v>
      </c>
    </row>
    <row r="294" spans="1:9">
      <c r="A294" s="74" t="s">
        <v>95</v>
      </c>
      <c r="B294" s="75">
        <v>45748</v>
      </c>
      <c r="C294" s="40">
        <v>702068.92</v>
      </c>
      <c r="D294" s="40">
        <v>699118.07999999996</v>
      </c>
      <c r="E294" s="40">
        <v>2950.84</v>
      </c>
      <c r="F294" s="78">
        <v>5.5500000000000001E-2</v>
      </c>
      <c r="G294" s="40">
        <v>683200.89</v>
      </c>
      <c r="H294" s="40">
        <v>18868.03</v>
      </c>
      <c r="I294" s="78">
        <v>0.48139999999999999</v>
      </c>
    </row>
    <row r="295" spans="1:9">
      <c r="A295" s="69" t="s">
        <v>96</v>
      </c>
      <c r="B295" s="70">
        <v>45658</v>
      </c>
      <c r="C295" s="38">
        <v>546223.69999999995</v>
      </c>
      <c r="D295" s="38">
        <v>583200.15</v>
      </c>
      <c r="E295" s="71">
        <v>-36976.449999999997</v>
      </c>
      <c r="F295" s="73">
        <v>-0.69499999999999995</v>
      </c>
      <c r="G295" s="38">
        <v>579860.17000000004</v>
      </c>
      <c r="H295" s="71">
        <v>-33636.47</v>
      </c>
      <c r="I295" s="73">
        <v>-0.85819999999999996</v>
      </c>
    </row>
    <row r="296" spans="1:9">
      <c r="A296" s="74" t="s">
        <v>96</v>
      </c>
      <c r="B296" s="75">
        <v>45689</v>
      </c>
      <c r="C296" s="40">
        <v>533121.26</v>
      </c>
      <c r="D296" s="40">
        <v>530539.38</v>
      </c>
      <c r="E296" s="40">
        <v>2581.88</v>
      </c>
      <c r="F296" s="78">
        <v>4.8500000000000001E-2</v>
      </c>
      <c r="G296" s="40">
        <v>545405.43999999994</v>
      </c>
      <c r="H296" s="76">
        <v>-12284.18</v>
      </c>
      <c r="I296" s="78">
        <v>-0.31340000000000001</v>
      </c>
    </row>
    <row r="297" spans="1:9">
      <c r="A297" s="69" t="s">
        <v>96</v>
      </c>
      <c r="B297" s="70">
        <v>45717</v>
      </c>
      <c r="C297" s="38">
        <v>498970.32</v>
      </c>
      <c r="D297" s="38">
        <v>490330.24</v>
      </c>
      <c r="E297" s="38">
        <v>8640.08</v>
      </c>
      <c r="F297" s="73">
        <v>0.16239999999999999</v>
      </c>
      <c r="G297" s="38">
        <v>506976.97</v>
      </c>
      <c r="H297" s="71">
        <v>-8006.65</v>
      </c>
      <c r="I297" s="73">
        <v>-0.20430000000000001</v>
      </c>
    </row>
    <row r="298" spans="1:9">
      <c r="A298" s="74" t="s">
        <v>96</v>
      </c>
      <c r="B298" s="75">
        <v>45748</v>
      </c>
      <c r="C298" s="40">
        <v>487738.26</v>
      </c>
      <c r="D298" s="40">
        <v>507883.83</v>
      </c>
      <c r="E298" s="76">
        <v>-20145.57</v>
      </c>
      <c r="F298" s="78">
        <v>-0.37859999999999999</v>
      </c>
      <c r="G298" s="40">
        <v>494858</v>
      </c>
      <c r="H298" s="76">
        <v>-7119.74</v>
      </c>
      <c r="I298" s="78">
        <v>-0.18160000000000001</v>
      </c>
    </row>
    <row r="299" spans="1:9">
      <c r="A299" s="69" t="s">
        <v>97</v>
      </c>
      <c r="B299" s="70">
        <v>45658</v>
      </c>
      <c r="C299" s="38">
        <v>668459.37</v>
      </c>
      <c r="D299" s="38">
        <v>656768.25</v>
      </c>
      <c r="E299" s="38">
        <v>11691.12</v>
      </c>
      <c r="F299" s="73">
        <v>0.21970000000000001</v>
      </c>
      <c r="G299" s="38">
        <v>661572.31000000006</v>
      </c>
      <c r="H299" s="38">
        <v>6887.06</v>
      </c>
      <c r="I299" s="73">
        <v>0.1757</v>
      </c>
    </row>
    <row r="300" spans="1:9">
      <c r="A300" s="74" t="s">
        <v>97</v>
      </c>
      <c r="B300" s="75">
        <v>45689</v>
      </c>
      <c r="C300" s="40">
        <v>763162.45</v>
      </c>
      <c r="D300" s="40">
        <v>657018</v>
      </c>
      <c r="E300" s="40">
        <v>106144.45</v>
      </c>
      <c r="F300" s="72">
        <v>1.9948999999999999</v>
      </c>
      <c r="G300" s="40">
        <v>691653.58</v>
      </c>
      <c r="H300" s="40">
        <v>71508.87</v>
      </c>
      <c r="I300" s="72">
        <v>1.8244</v>
      </c>
    </row>
    <row r="301" spans="1:9">
      <c r="A301" s="69" t="s">
        <v>97</v>
      </c>
      <c r="B301" s="70">
        <v>45717</v>
      </c>
      <c r="C301" s="38">
        <v>599017.32999999996</v>
      </c>
      <c r="D301" s="38">
        <v>621161.57999999996</v>
      </c>
      <c r="E301" s="71">
        <v>-22144.25</v>
      </c>
      <c r="F301" s="73">
        <v>-0.41620000000000001</v>
      </c>
      <c r="G301" s="38">
        <v>617606.13</v>
      </c>
      <c r="H301" s="71">
        <v>-18588.8</v>
      </c>
      <c r="I301" s="73">
        <v>-0.47420000000000001</v>
      </c>
    </row>
    <row r="302" spans="1:9">
      <c r="A302" s="74" t="s">
        <v>97</v>
      </c>
      <c r="B302" s="75">
        <v>45748</v>
      </c>
      <c r="C302" s="40">
        <v>401582.58</v>
      </c>
      <c r="D302" s="40">
        <v>498571.86</v>
      </c>
      <c r="E302" s="76">
        <v>-96989.28</v>
      </c>
      <c r="F302" s="72">
        <v>-1.8229</v>
      </c>
      <c r="G302" s="40">
        <v>434619.15</v>
      </c>
      <c r="H302" s="76">
        <v>-33036.57</v>
      </c>
      <c r="I302" s="78">
        <v>-0.84279999999999999</v>
      </c>
    </row>
    <row r="303" spans="1:9">
      <c r="A303" s="69" t="s">
        <v>98</v>
      </c>
      <c r="B303" s="70">
        <v>45658</v>
      </c>
      <c r="C303" s="38">
        <v>703812.99</v>
      </c>
      <c r="D303" s="38">
        <v>740825.7</v>
      </c>
      <c r="E303" s="71">
        <v>-37012.71</v>
      </c>
      <c r="F303" s="73">
        <v>-0.6956</v>
      </c>
      <c r="G303" s="38">
        <v>749650.32</v>
      </c>
      <c r="H303" s="71">
        <v>-45837.33</v>
      </c>
      <c r="I303" s="73">
        <v>-1.1694</v>
      </c>
    </row>
    <row r="304" spans="1:9">
      <c r="A304" s="74" t="s">
        <v>98</v>
      </c>
      <c r="B304" s="75">
        <v>45689</v>
      </c>
      <c r="C304" s="40">
        <v>724346.73</v>
      </c>
      <c r="D304" s="40">
        <v>731442.37</v>
      </c>
      <c r="E304" s="76">
        <v>-7095.64</v>
      </c>
      <c r="F304" s="78">
        <v>-0.13339999999999999</v>
      </c>
      <c r="G304" s="40">
        <v>736345.2</v>
      </c>
      <c r="H304" s="76">
        <v>-11998.47</v>
      </c>
      <c r="I304" s="78">
        <v>-0.30609999999999998</v>
      </c>
    </row>
    <row r="305" spans="1:9">
      <c r="A305" s="69" t="s">
        <v>98</v>
      </c>
      <c r="B305" s="70">
        <v>45717</v>
      </c>
      <c r="C305" s="38">
        <v>730890.01</v>
      </c>
      <c r="D305" s="38">
        <v>741396.54</v>
      </c>
      <c r="E305" s="71">
        <v>-10506.53</v>
      </c>
      <c r="F305" s="73">
        <v>-0.19750000000000001</v>
      </c>
      <c r="G305" s="38">
        <v>761409.02</v>
      </c>
      <c r="H305" s="71">
        <v>-30519.01</v>
      </c>
      <c r="I305" s="73">
        <v>-0.77859999999999996</v>
      </c>
    </row>
    <row r="306" spans="1:9">
      <c r="A306" s="74" t="s">
        <v>98</v>
      </c>
      <c r="B306" s="75">
        <v>45748</v>
      </c>
      <c r="C306" s="40">
        <v>780580.95</v>
      </c>
      <c r="D306" s="40">
        <v>738363.91</v>
      </c>
      <c r="E306" s="40">
        <v>42217.04</v>
      </c>
      <c r="F306" s="78">
        <v>0.79349999999999998</v>
      </c>
      <c r="G306" s="40">
        <v>729465.7</v>
      </c>
      <c r="H306" s="40">
        <v>51115.25</v>
      </c>
      <c r="I306" s="78">
        <v>1.3041</v>
      </c>
    </row>
    <row r="307" spans="1:9">
      <c r="A307" s="69" t="s">
        <v>99</v>
      </c>
      <c r="B307" s="70">
        <v>45658</v>
      </c>
      <c r="C307" s="38">
        <v>727957.48</v>
      </c>
      <c r="D307" s="38">
        <v>679530.84</v>
      </c>
      <c r="E307" s="38">
        <v>48426.64</v>
      </c>
      <c r="F307" s="73">
        <v>0.91020000000000001</v>
      </c>
      <c r="G307" s="38">
        <v>683356.98</v>
      </c>
      <c r="H307" s="38">
        <v>44600.5</v>
      </c>
      <c r="I307" s="73">
        <v>1.1378999999999999</v>
      </c>
    </row>
    <row r="308" spans="1:9">
      <c r="A308" s="74" t="s">
        <v>99</v>
      </c>
      <c r="B308" s="75">
        <v>45689</v>
      </c>
      <c r="C308" s="40">
        <v>538376</v>
      </c>
      <c r="D308" s="40">
        <v>653485.88</v>
      </c>
      <c r="E308" s="76">
        <v>-115109.88</v>
      </c>
      <c r="F308" s="77">
        <v>-2.1634000000000002</v>
      </c>
      <c r="G308" s="40">
        <v>590600.80000000005</v>
      </c>
      <c r="H308" s="76">
        <v>-52224.800000000003</v>
      </c>
      <c r="I308" s="78">
        <v>-1.3324</v>
      </c>
    </row>
    <row r="309" spans="1:9">
      <c r="A309" s="69" t="s">
        <v>99</v>
      </c>
      <c r="B309" s="70">
        <v>45717</v>
      </c>
      <c r="C309" s="38">
        <v>665342.49</v>
      </c>
      <c r="D309" s="38">
        <v>671217.86</v>
      </c>
      <c r="E309" s="71">
        <v>-5875.37</v>
      </c>
      <c r="F309" s="73">
        <v>-0.1104</v>
      </c>
      <c r="G309" s="38">
        <v>625636.78</v>
      </c>
      <c r="H309" s="38">
        <v>39705.71</v>
      </c>
      <c r="I309" s="73">
        <v>1.0129999999999999</v>
      </c>
    </row>
    <row r="310" spans="1:9">
      <c r="A310" s="74" t="s">
        <v>99</v>
      </c>
      <c r="B310" s="75">
        <v>45748</v>
      </c>
      <c r="C310" s="40">
        <v>651164.18000000005</v>
      </c>
      <c r="D310" s="40">
        <v>674714.3</v>
      </c>
      <c r="E310" s="76">
        <v>-23550.12</v>
      </c>
      <c r="F310" s="78">
        <v>-0.44259999999999999</v>
      </c>
      <c r="G310" s="40">
        <v>697922.37</v>
      </c>
      <c r="H310" s="76">
        <v>-46758.19</v>
      </c>
      <c r="I310" s="78">
        <v>-1.1929000000000001</v>
      </c>
    </row>
    <row r="311" spans="1:9">
      <c r="A311" s="69" t="s">
        <v>100</v>
      </c>
      <c r="B311" s="70">
        <v>45658</v>
      </c>
      <c r="C311" s="38">
        <v>628538.30000000005</v>
      </c>
      <c r="D311" s="38">
        <v>651880.36</v>
      </c>
      <c r="E311" s="71">
        <v>-23342.06</v>
      </c>
      <c r="F311" s="73">
        <v>-0.43869999999999998</v>
      </c>
      <c r="G311" s="38">
        <v>641962.49</v>
      </c>
      <c r="H311" s="71">
        <v>-13424.19</v>
      </c>
      <c r="I311" s="73">
        <v>-0.34250000000000003</v>
      </c>
    </row>
    <row r="312" spans="1:9">
      <c r="A312" s="74" t="s">
        <v>100</v>
      </c>
      <c r="B312" s="75">
        <v>45689</v>
      </c>
      <c r="C312" s="40">
        <v>536524.84</v>
      </c>
      <c r="D312" s="40">
        <v>634968.98</v>
      </c>
      <c r="E312" s="76">
        <v>-98444.14</v>
      </c>
      <c r="F312" s="72">
        <v>-1.8502000000000001</v>
      </c>
      <c r="G312" s="40">
        <v>592307.16</v>
      </c>
      <c r="H312" s="76">
        <v>-55782.32</v>
      </c>
      <c r="I312" s="78">
        <v>-1.4232</v>
      </c>
    </row>
    <row r="313" spans="1:9">
      <c r="A313" s="69" t="s">
        <v>100</v>
      </c>
      <c r="B313" s="70">
        <v>45717</v>
      </c>
      <c r="C313" s="38">
        <v>621677.30000000005</v>
      </c>
      <c r="D313" s="38">
        <v>640285</v>
      </c>
      <c r="E313" s="71">
        <v>-18607.7</v>
      </c>
      <c r="F313" s="73">
        <v>-0.34970000000000001</v>
      </c>
      <c r="G313" s="38">
        <v>613005.05000000005</v>
      </c>
      <c r="H313" s="38">
        <v>8672.25</v>
      </c>
      <c r="I313" s="73">
        <v>0.2213</v>
      </c>
    </row>
    <row r="314" spans="1:9">
      <c r="A314" s="74" t="s">
        <v>100</v>
      </c>
      <c r="B314" s="75">
        <v>45748</v>
      </c>
      <c r="C314" s="40">
        <v>771129.07</v>
      </c>
      <c r="D314" s="40">
        <v>713246.58</v>
      </c>
      <c r="E314" s="40">
        <v>57882.49</v>
      </c>
      <c r="F314" s="78">
        <v>1.0879000000000001</v>
      </c>
      <c r="G314" s="40">
        <v>773995.81</v>
      </c>
      <c r="H314" s="76">
        <v>-2866.74</v>
      </c>
      <c r="I314" s="78">
        <v>-7.3099999999999998E-2</v>
      </c>
    </row>
    <row r="315" spans="1:9">
      <c r="A315" s="69" t="s">
        <v>101</v>
      </c>
      <c r="B315" s="70">
        <v>45658</v>
      </c>
      <c r="C315" s="38">
        <v>702052.47</v>
      </c>
      <c r="D315" s="38">
        <v>666329.97</v>
      </c>
      <c r="E315" s="38">
        <v>35722.5</v>
      </c>
      <c r="F315" s="73">
        <v>0.6714</v>
      </c>
      <c r="G315" s="38">
        <v>674596.04</v>
      </c>
      <c r="H315" s="38">
        <v>27456.43</v>
      </c>
      <c r="I315" s="73">
        <v>0.70050000000000001</v>
      </c>
    </row>
    <row r="316" spans="1:9">
      <c r="A316" s="74" t="s">
        <v>101</v>
      </c>
      <c r="B316" s="75">
        <v>45689</v>
      </c>
      <c r="C316" s="40">
        <v>688368.46</v>
      </c>
      <c r="D316" s="40">
        <v>730871.52</v>
      </c>
      <c r="E316" s="76">
        <v>-42503.06</v>
      </c>
      <c r="F316" s="78">
        <v>-0.79879999999999995</v>
      </c>
      <c r="G316" s="40">
        <v>705925.57</v>
      </c>
      <c r="H316" s="76">
        <v>-17557.11</v>
      </c>
      <c r="I316" s="78">
        <v>-0.44790000000000002</v>
      </c>
    </row>
    <row r="317" spans="1:9">
      <c r="A317" s="69" t="s">
        <v>101</v>
      </c>
      <c r="B317" s="70">
        <v>45717</v>
      </c>
      <c r="C317" s="38">
        <v>712375.77</v>
      </c>
      <c r="D317" s="38">
        <v>660478.77</v>
      </c>
      <c r="E317" s="38">
        <v>51897</v>
      </c>
      <c r="F317" s="73">
        <v>0.97540000000000004</v>
      </c>
      <c r="G317" s="38">
        <v>686171.35</v>
      </c>
      <c r="H317" s="38">
        <v>26204.42</v>
      </c>
      <c r="I317" s="73">
        <v>0.66849999999999998</v>
      </c>
    </row>
    <row r="318" spans="1:9">
      <c r="A318" s="74" t="s">
        <v>101</v>
      </c>
      <c r="B318" s="75">
        <v>45748</v>
      </c>
      <c r="C318" s="40">
        <v>844710.67</v>
      </c>
      <c r="D318" s="40">
        <v>802013.52</v>
      </c>
      <c r="E318" s="40">
        <v>42697.15</v>
      </c>
      <c r="F318" s="78">
        <v>0.80249999999999999</v>
      </c>
      <c r="G318" s="40">
        <v>797160.51</v>
      </c>
      <c r="H318" s="40">
        <v>47550.16</v>
      </c>
      <c r="I318" s="78">
        <v>1.2131000000000001</v>
      </c>
    </row>
    <row r="319" spans="1:9">
      <c r="A319" s="69" t="s">
        <v>102</v>
      </c>
      <c r="B319" s="70">
        <v>45658</v>
      </c>
      <c r="C319" s="38">
        <v>620264.19999999995</v>
      </c>
      <c r="D319" s="38">
        <v>647599</v>
      </c>
      <c r="E319" s="71">
        <v>-27334.799999999999</v>
      </c>
      <c r="F319" s="73">
        <v>-0.51370000000000005</v>
      </c>
      <c r="G319" s="38">
        <v>680077.08</v>
      </c>
      <c r="H319" s="71">
        <v>-59812.88</v>
      </c>
      <c r="I319" s="72">
        <v>-1.526</v>
      </c>
    </row>
    <row r="320" spans="1:9">
      <c r="A320" s="74" t="s">
        <v>102</v>
      </c>
      <c r="B320" s="75">
        <v>45689</v>
      </c>
      <c r="C320" s="40">
        <v>536845.42000000004</v>
      </c>
      <c r="D320" s="40">
        <v>570070.64</v>
      </c>
      <c r="E320" s="76">
        <v>-33225.22</v>
      </c>
      <c r="F320" s="78">
        <v>-0.62450000000000006</v>
      </c>
      <c r="G320" s="40">
        <v>520419.47</v>
      </c>
      <c r="H320" s="40">
        <v>16425.95</v>
      </c>
      <c r="I320" s="78">
        <v>0.41909999999999997</v>
      </c>
    </row>
    <row r="321" spans="1:9">
      <c r="A321" s="69" t="s">
        <v>102</v>
      </c>
      <c r="B321" s="70">
        <v>45717</v>
      </c>
      <c r="C321" s="38">
        <v>726776.22</v>
      </c>
      <c r="D321" s="38">
        <v>723807.27</v>
      </c>
      <c r="E321" s="38">
        <v>2968.95</v>
      </c>
      <c r="F321" s="73">
        <v>5.5800000000000002E-2</v>
      </c>
      <c r="G321" s="38">
        <v>726294.46</v>
      </c>
      <c r="H321" s="38">
        <v>481.76</v>
      </c>
      <c r="I321" s="73">
        <v>1.23E-2</v>
      </c>
    </row>
    <row r="322" spans="1:9">
      <c r="A322" s="74" t="s">
        <v>102</v>
      </c>
      <c r="B322" s="75">
        <v>45748</v>
      </c>
      <c r="C322" s="40">
        <v>559660.84</v>
      </c>
      <c r="D322" s="40">
        <v>636110.67000000004</v>
      </c>
      <c r="E322" s="76">
        <v>-76449.83</v>
      </c>
      <c r="F322" s="78">
        <v>-1.4368000000000001</v>
      </c>
      <c r="G322" s="40">
        <v>557595.42000000004</v>
      </c>
      <c r="H322" s="40">
        <v>2065.42</v>
      </c>
      <c r="I322" s="78">
        <v>5.2699999999999997E-2</v>
      </c>
    </row>
    <row r="324" spans="1:9">
      <c r="A324" s="32" t="s">
        <v>117</v>
      </c>
      <c r="B324" s="8" t="s">
        <v>225</v>
      </c>
      <c r="C324" s="8"/>
      <c r="D324" s="8"/>
      <c r="E324" s="8"/>
      <c r="F324" s="7" t="s">
        <v>226</v>
      </c>
      <c r="G324" s="7"/>
      <c r="H324" s="7"/>
      <c r="I324" s="7"/>
    </row>
  </sheetData>
  <mergeCells count="3">
    <mergeCell ref="A1:I1"/>
    <mergeCell ref="B324:E324"/>
    <mergeCell ref="F324:I324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0"/>
  <sheetViews>
    <sheetView workbookViewId="0">
      <selection sqref="A1:E1"/>
    </sheetView>
  </sheetViews>
  <sheetFormatPr defaultColWidth="8.6640625" defaultRowHeight="14.4"/>
  <cols>
    <col min="1" max="1" width="22" customWidth="1"/>
    <col min="2" max="3" width="20" customWidth="1"/>
    <col min="4" max="4" width="16" customWidth="1"/>
    <col min="5" max="5" width="19.33203125" customWidth="1"/>
  </cols>
  <sheetData>
    <row r="1" spans="1:5" ht="24" customHeight="1">
      <c r="A1" s="14" t="s">
        <v>227</v>
      </c>
      <c r="B1" s="14"/>
      <c r="C1" s="14"/>
      <c r="D1" s="14"/>
      <c r="E1" s="14"/>
    </row>
    <row r="2" spans="1:5" ht="19.5" customHeight="1">
      <c r="A2" s="6" t="s">
        <v>228</v>
      </c>
      <c r="B2" s="6"/>
      <c r="C2" s="6"/>
      <c r="D2" s="6"/>
      <c r="E2" s="6"/>
    </row>
    <row r="3" spans="1:5" ht="36" customHeight="1">
      <c r="A3" s="79" t="s">
        <v>135</v>
      </c>
      <c r="B3" s="79" t="s">
        <v>229</v>
      </c>
      <c r="C3" s="79" t="s">
        <v>230</v>
      </c>
      <c r="D3" s="79" t="s">
        <v>231</v>
      </c>
      <c r="E3" s="79" t="s">
        <v>232</v>
      </c>
    </row>
    <row r="4" spans="1:5">
      <c r="A4" s="47" t="s">
        <v>138</v>
      </c>
      <c r="B4" s="80">
        <v>0.73628534000331103</v>
      </c>
      <c r="C4" s="81">
        <v>0.85688288251751799</v>
      </c>
      <c r="D4" s="82">
        <v>0.120597542514207</v>
      </c>
      <c r="E4" s="54" t="s">
        <v>233</v>
      </c>
    </row>
    <row r="5" spans="1:5">
      <c r="A5" s="32" t="s">
        <v>140</v>
      </c>
      <c r="B5" s="80">
        <v>0.73545604861967395</v>
      </c>
      <c r="C5" s="81">
        <v>0.850313572206847</v>
      </c>
      <c r="D5" s="82">
        <v>0.11485752358717299</v>
      </c>
      <c r="E5" s="58" t="s">
        <v>233</v>
      </c>
    </row>
    <row r="6" spans="1:5">
      <c r="A6" s="47" t="s">
        <v>234</v>
      </c>
      <c r="B6" s="83">
        <v>53206.682023039502</v>
      </c>
      <c r="C6" s="84">
        <v>39196.278143680902</v>
      </c>
      <c r="D6" s="85">
        <v>-14010.4038793585</v>
      </c>
      <c r="E6" s="54" t="s">
        <v>233</v>
      </c>
    </row>
    <row r="7" spans="1:5">
      <c r="A7" s="32" t="s">
        <v>235</v>
      </c>
      <c r="B7" s="83">
        <v>42434.575412062302</v>
      </c>
      <c r="C7" s="84">
        <v>30892.946141988199</v>
      </c>
      <c r="D7" s="85">
        <v>-11541.629270074</v>
      </c>
      <c r="E7" s="58" t="s">
        <v>233</v>
      </c>
    </row>
    <row r="9" spans="1:5" ht="19.5" customHeight="1">
      <c r="A9" s="90" t="s">
        <v>236</v>
      </c>
      <c r="B9" s="90"/>
      <c r="C9" s="90"/>
      <c r="D9" s="90"/>
      <c r="E9" s="90"/>
    </row>
    <row r="10" spans="1:5" ht="24" customHeight="1">
      <c r="A10" s="91" t="s">
        <v>237</v>
      </c>
      <c r="B10" s="91"/>
      <c r="C10" s="91"/>
      <c r="D10" s="91"/>
      <c r="E10" s="91"/>
    </row>
    <row r="12" spans="1:5" ht="19.5" customHeight="1">
      <c r="A12" s="1" t="s">
        <v>238</v>
      </c>
      <c r="B12" s="1"/>
      <c r="C12" s="1"/>
      <c r="D12" s="1"/>
      <c r="E12" s="1"/>
    </row>
    <row r="13" spans="1:5" ht="99.75" customHeight="1">
      <c r="A13" s="92" t="s">
        <v>239</v>
      </c>
      <c r="B13" s="92"/>
      <c r="C13" s="92"/>
      <c r="D13" s="92"/>
      <c r="E13" s="92"/>
    </row>
    <row r="15" spans="1:5" ht="19.5" customHeight="1">
      <c r="A15" s="87" t="s">
        <v>240</v>
      </c>
      <c r="B15" s="87"/>
      <c r="C15" s="87"/>
      <c r="D15" s="87"/>
      <c r="E15" s="87"/>
    </row>
    <row r="16" spans="1:5" ht="19.5" customHeight="1">
      <c r="A16" s="95" t="s">
        <v>244</v>
      </c>
      <c r="B16" s="88"/>
      <c r="C16" s="88"/>
      <c r="D16" s="88"/>
      <c r="E16" s="88"/>
    </row>
    <row r="17" spans="1:5" ht="19.5" customHeight="1">
      <c r="A17" s="88" t="s">
        <v>241</v>
      </c>
      <c r="B17" s="88"/>
      <c r="C17" s="88"/>
      <c r="D17" s="88"/>
      <c r="E17" s="88"/>
    </row>
    <row r="18" spans="1:5" ht="19.5" customHeight="1">
      <c r="A18" s="88" t="s">
        <v>242</v>
      </c>
      <c r="B18" s="88"/>
      <c r="C18" s="88"/>
      <c r="D18" s="88"/>
      <c r="E18" s="88"/>
    </row>
    <row r="19" spans="1:5" ht="19.5" customHeight="1">
      <c r="A19" s="88" t="s">
        <v>243</v>
      </c>
      <c r="B19" s="88"/>
      <c r="C19" s="88"/>
      <c r="D19" s="88"/>
      <c r="E19" s="88"/>
    </row>
    <row r="20" spans="1:5" ht="19.5" customHeight="1">
      <c r="A20" s="96" t="s">
        <v>245</v>
      </c>
      <c r="B20" s="97"/>
      <c r="C20" s="97"/>
      <c r="D20" s="97"/>
      <c r="E20" s="97"/>
    </row>
  </sheetData>
  <mergeCells count="12">
    <mergeCell ref="A19:E19"/>
    <mergeCell ref="A20:E20"/>
    <mergeCell ref="A13:E13"/>
    <mergeCell ref="A15:E15"/>
    <mergeCell ref="A16:E16"/>
    <mergeCell ref="A17:E17"/>
    <mergeCell ref="A18:E18"/>
    <mergeCell ref="A1:E1"/>
    <mergeCell ref="A2:E2"/>
    <mergeCell ref="A9:E9"/>
    <mergeCell ref="A10:E10"/>
    <mergeCell ref="A12:E12"/>
  </mergeCells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1_Original_Data</vt:lpstr>
      <vt:lpstr>2_Cleaned_Data</vt:lpstr>
      <vt:lpstr>3_Dummy_Variables</vt:lpstr>
      <vt:lpstr>4_Simple_Regression_Footfall</vt:lpstr>
      <vt:lpstr>5_Simple_Regression_StaffCount</vt:lpstr>
      <vt:lpstr>6_Multiple_Regression</vt:lpstr>
      <vt:lpstr>7_Predictions_Residuals</vt:lpstr>
      <vt:lpstr>8_Model_Comparison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</cp:lastModifiedBy>
  <cp:revision>0</cp:revision>
  <dcterms:created xsi:type="dcterms:W3CDTF">2026-06-28T05:17:40Z</dcterms:created>
  <dcterms:modified xsi:type="dcterms:W3CDTF">2026-06-28T07:36:33Z</dcterms:modified>
  <dc:language>en-US</dc:language>
</cp:coreProperties>
</file>